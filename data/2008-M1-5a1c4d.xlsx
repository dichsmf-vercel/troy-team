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r\Downloads\"/>
    </mc:Choice>
  </mc:AlternateContent>
  <xr:revisionPtr revIDLastSave="0" documentId="13_ncr:1_{6B2AC772-1198-446D-9950-4E3DAF03436F}" xr6:coauthVersionLast="47" xr6:coauthVersionMax="47" xr10:uidLastSave="{00000000-0000-0000-0000-000000000000}"/>
  <bookViews>
    <workbookView xWindow="-120" yWindow="-120" windowWidth="29040" windowHeight="16440" xr2:uid="{8943631D-59DC-44FB-BDF6-4DCAC68447CF}"/>
  </bookViews>
  <sheets>
    <sheet name="الاثنين 12 ماي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K28" i="1" s="1"/>
  <c r="N28" i="1" s="1"/>
  <c r="AB26" i="1"/>
  <c r="AC26" i="1" s="1"/>
  <c r="AE26" i="1" s="1"/>
  <c r="AB27" i="1"/>
  <c r="AC27" i="1" s="1"/>
  <c r="AH27" i="1" s="1"/>
  <c r="AB28" i="1"/>
  <c r="AC28" i="1" s="1"/>
  <c r="AD28" i="1" s="1"/>
  <c r="AB29" i="1"/>
  <c r="AB30" i="1"/>
  <c r="AB31" i="1"/>
  <c r="AB32" i="1"/>
  <c r="AB33" i="1"/>
  <c r="S26" i="1"/>
  <c r="T26" i="1" s="1"/>
  <c r="V26" i="1" s="1"/>
  <c r="S27" i="1"/>
  <c r="T27" i="1" s="1"/>
  <c r="Y27" i="1" s="1"/>
  <c r="S28" i="1"/>
  <c r="T28" i="1" s="1"/>
  <c r="X28" i="1" s="1"/>
  <c r="J27" i="1"/>
  <c r="K27" i="1" s="1"/>
  <c r="P27" i="1" s="1"/>
  <c r="J26" i="1"/>
  <c r="K26" i="1" s="1"/>
  <c r="P26" i="1" s="1"/>
  <c r="AB25" i="1"/>
  <c r="AC25" i="1" s="1"/>
  <c r="AF25" i="1" s="1"/>
  <c r="S25" i="1"/>
  <c r="T25" i="1" s="1"/>
  <c r="W25" i="1" s="1"/>
  <c r="J25" i="1"/>
  <c r="K25" i="1" s="1"/>
  <c r="P25" i="1" s="1"/>
  <c r="AB24" i="1"/>
  <c r="AC24" i="1" s="1"/>
  <c r="S24" i="1"/>
  <c r="T24" i="1" s="1"/>
  <c r="X24" i="1" s="1"/>
  <c r="J24" i="1"/>
  <c r="K24" i="1" s="1"/>
  <c r="O24" i="1" s="1"/>
  <c r="AB23" i="1"/>
  <c r="AC23" i="1" s="1"/>
  <c r="AE23" i="1" s="1"/>
  <c r="S23" i="1"/>
  <c r="T23" i="1" s="1"/>
  <c r="V23" i="1" s="1"/>
  <c r="J23" i="1"/>
  <c r="AB22" i="1"/>
  <c r="AC22" i="1" s="1"/>
  <c r="AF22" i="1" s="1"/>
  <c r="S22" i="1"/>
  <c r="T22" i="1" s="1"/>
  <c r="W22" i="1" s="1"/>
  <c r="J22" i="1"/>
  <c r="K22" i="1" s="1"/>
  <c r="P22" i="1" s="1"/>
  <c r="AB21" i="1"/>
  <c r="AC21" i="1" s="1"/>
  <c r="AG21" i="1" s="1"/>
  <c r="S21" i="1"/>
  <c r="T21" i="1" s="1"/>
  <c r="X21" i="1" s="1"/>
  <c r="J21" i="1"/>
  <c r="K21" i="1" s="1"/>
  <c r="N21" i="1" s="1"/>
  <c r="AB20" i="1"/>
  <c r="AC20" i="1" s="1"/>
  <c r="S20" i="1"/>
  <c r="T20" i="1" s="1"/>
  <c r="Y20" i="1" s="1"/>
  <c r="J20" i="1"/>
  <c r="K20" i="1" s="1"/>
  <c r="P20" i="1" s="1"/>
  <c r="AB19" i="1"/>
  <c r="AC19" i="1" s="1"/>
  <c r="AE19" i="1" s="1"/>
  <c r="S19" i="1"/>
  <c r="T19" i="1" s="1"/>
  <c r="V19" i="1" s="1"/>
  <c r="J19" i="1"/>
  <c r="K19" i="1" s="1"/>
  <c r="P19" i="1" s="1"/>
  <c r="AB18" i="1"/>
  <c r="AC18" i="1" s="1"/>
  <c r="AF18" i="1" s="1"/>
  <c r="S18" i="1"/>
  <c r="T18" i="1" s="1"/>
  <c r="W18" i="1" s="1"/>
  <c r="J18" i="1"/>
  <c r="K18" i="1" s="1"/>
  <c r="P18" i="1" s="1"/>
  <c r="AB17" i="1"/>
  <c r="AC17" i="1" s="1"/>
  <c r="AG17" i="1" s="1"/>
  <c r="S17" i="1"/>
  <c r="T17" i="1" s="1"/>
  <c r="X17" i="1" s="1"/>
  <c r="J17" i="1"/>
  <c r="K17" i="1" s="1"/>
  <c r="M17" i="1" s="1"/>
  <c r="AB16" i="1"/>
  <c r="AC16" i="1" s="1"/>
  <c r="S16" i="1"/>
  <c r="T16" i="1" s="1"/>
  <c r="Y16" i="1" s="1"/>
  <c r="J16" i="1"/>
  <c r="K16" i="1" s="1"/>
  <c r="P16" i="1" s="1"/>
  <c r="AB15" i="1"/>
  <c r="AC15" i="1" s="1"/>
  <c r="AF15" i="1" s="1"/>
  <c r="S15" i="1"/>
  <c r="T15" i="1" s="1"/>
  <c r="W15" i="1" s="1"/>
  <c r="J15" i="1"/>
  <c r="K15" i="1" s="1"/>
  <c r="P15" i="1" s="1"/>
  <c r="AB14" i="1"/>
  <c r="AC14" i="1" s="1"/>
  <c r="S14" i="1"/>
  <c r="T14" i="1" s="1"/>
  <c r="X14" i="1" s="1"/>
  <c r="J14" i="1"/>
  <c r="AB13" i="1"/>
  <c r="AC13" i="1" s="1"/>
  <c r="AH13" i="1" s="1"/>
  <c r="S13" i="1"/>
  <c r="T13" i="1" s="1"/>
  <c r="J13" i="1"/>
  <c r="K13" i="1" s="1"/>
  <c r="P13" i="1" s="1"/>
  <c r="AB12" i="1"/>
  <c r="AC12" i="1" s="1"/>
  <c r="AF12" i="1" s="1"/>
  <c r="S12" i="1"/>
  <c r="T12" i="1" s="1"/>
  <c r="W12" i="1" s="1"/>
  <c r="J12" i="1"/>
  <c r="K12" i="1" s="1"/>
  <c r="P12" i="1" s="1"/>
  <c r="AB11" i="1"/>
  <c r="AC11" i="1" s="1"/>
  <c r="S11" i="1"/>
  <c r="T11" i="1" s="1"/>
  <c r="X11" i="1" s="1"/>
  <c r="J11" i="1"/>
  <c r="K11" i="1" s="1"/>
  <c r="P11" i="1" s="1"/>
  <c r="AB10" i="1"/>
  <c r="AC10" i="1" s="1"/>
  <c r="S10" i="1"/>
  <c r="T10" i="1" s="1"/>
  <c r="Y10" i="1" s="1"/>
  <c r="J10" i="1"/>
  <c r="K10" i="1" s="1"/>
  <c r="P10" i="1" s="1"/>
  <c r="AB9" i="1"/>
  <c r="AC9" i="1" s="1"/>
  <c r="AE9" i="1" s="1"/>
  <c r="S9" i="1"/>
  <c r="T9" i="1" s="1"/>
  <c r="V9" i="1" s="1"/>
  <c r="J9" i="1"/>
  <c r="K9" i="1" s="1"/>
  <c r="P9" i="1" s="1"/>
  <c r="AB8" i="1"/>
  <c r="AC8" i="1" s="1"/>
  <c r="AF8" i="1" s="1"/>
  <c r="S8" i="1"/>
  <c r="T8" i="1" s="1"/>
  <c r="W8" i="1" s="1"/>
  <c r="J8" i="1"/>
  <c r="K8" i="1" s="1"/>
  <c r="P8" i="1" s="1"/>
  <c r="AB7" i="1"/>
  <c r="AC7" i="1" s="1"/>
  <c r="S7" i="1"/>
  <c r="T7" i="1" s="1"/>
  <c r="X7" i="1" s="1"/>
  <c r="J7" i="1"/>
  <c r="K7" i="1" s="1"/>
  <c r="P7" i="1" s="1"/>
  <c r="AG7" i="1" l="1"/>
  <c r="AD7" i="1"/>
  <c r="AG24" i="1"/>
  <c r="AE24" i="1"/>
  <c r="AH20" i="1"/>
  <c r="AF20" i="1"/>
  <c r="AH16" i="1"/>
  <c r="AE16" i="1"/>
  <c r="AG14" i="1"/>
  <c r="AD14" i="1"/>
  <c r="Y13" i="1"/>
  <c r="V13" i="1"/>
  <c r="AG11" i="1"/>
  <c r="AH11" i="1"/>
  <c r="AH10" i="1"/>
  <c r="AE10" i="1"/>
  <c r="M28" i="1"/>
  <c r="W28" i="1"/>
  <c r="AG28" i="1"/>
  <c r="AG22" i="1"/>
  <c r="W19" i="1"/>
  <c r="AE7" i="1"/>
  <c r="AF10" i="1"/>
  <c r="AG12" i="1"/>
  <c r="AE14" i="1"/>
  <c r="AF16" i="1"/>
  <c r="AD21" i="1"/>
  <c r="AH24" i="1"/>
  <c r="P28" i="1"/>
  <c r="L28" i="1"/>
  <c r="V28" i="1"/>
  <c r="AF28" i="1"/>
  <c r="W9" i="1"/>
  <c r="W23" i="1"/>
  <c r="AH7" i="1"/>
  <c r="AD11" i="1"/>
  <c r="AE13" i="1"/>
  <c r="AH14" i="1"/>
  <c r="AG18" i="1"/>
  <c r="AE21" i="1"/>
  <c r="AG25" i="1"/>
  <c r="O28" i="1"/>
  <c r="Y28" i="1"/>
  <c r="U28" i="1"/>
  <c r="AE28" i="1"/>
  <c r="V10" i="1"/>
  <c r="AG8" i="1"/>
  <c r="AE11" i="1"/>
  <c r="AF13" i="1"/>
  <c r="AG15" i="1"/>
  <c r="AE20" i="1"/>
  <c r="AH21" i="1"/>
  <c r="AD24" i="1"/>
  <c r="AF26" i="1"/>
  <c r="AH28" i="1"/>
  <c r="AH17" i="1"/>
  <c r="AD17" i="1"/>
  <c r="AE17" i="1"/>
  <c r="X18" i="1"/>
  <c r="AF23" i="1"/>
  <c r="AD12" i="1"/>
  <c r="AG19" i="1"/>
  <c r="AH22" i="1"/>
  <c r="AD25" i="1"/>
  <c r="X12" i="1"/>
  <c r="V20" i="1"/>
  <c r="X25" i="1"/>
  <c r="AF7" i="1"/>
  <c r="AE8" i="1"/>
  <c r="AD9" i="1"/>
  <c r="AH9" i="1"/>
  <c r="AG10" i="1"/>
  <c r="AF11" i="1"/>
  <c r="AE12" i="1"/>
  <c r="AG13" i="1"/>
  <c r="AF14" i="1"/>
  <c r="AE15" i="1"/>
  <c r="AG16" i="1"/>
  <c r="AF17" i="1"/>
  <c r="AE18" i="1"/>
  <c r="AD19" i="1"/>
  <c r="AH19" i="1"/>
  <c r="AG20" i="1"/>
  <c r="AF21" i="1"/>
  <c r="AE22" i="1"/>
  <c r="AD23" i="1"/>
  <c r="AH23" i="1"/>
  <c r="AF24" i="1"/>
  <c r="AE25" i="1"/>
  <c r="AD26" i="1"/>
  <c r="AH26" i="1"/>
  <c r="AG27" i="1"/>
  <c r="AF9" i="1"/>
  <c r="AF19" i="1"/>
  <c r="AE27" i="1"/>
  <c r="X15" i="1"/>
  <c r="AD8" i="1"/>
  <c r="AH8" i="1"/>
  <c r="AG9" i="1"/>
  <c r="AH12" i="1"/>
  <c r="AD15" i="1"/>
  <c r="AH15" i="1"/>
  <c r="AD18" i="1"/>
  <c r="AH18" i="1"/>
  <c r="AD22" i="1"/>
  <c r="AG23" i="1"/>
  <c r="AH25" i="1"/>
  <c r="AG26" i="1"/>
  <c r="AF27" i="1"/>
  <c r="X8" i="1"/>
  <c r="V16" i="1"/>
  <c r="X22" i="1"/>
  <c r="V27" i="1"/>
  <c r="AD10" i="1"/>
  <c r="AD13" i="1"/>
  <c r="AD16" i="1"/>
  <c r="AD20" i="1"/>
  <c r="AD27" i="1"/>
  <c r="U7" i="1"/>
  <c r="Y7" i="1"/>
  <c r="U11" i="1"/>
  <c r="Y11" i="1"/>
  <c r="Y24" i="1"/>
  <c r="W26" i="1"/>
  <c r="V7" i="1"/>
  <c r="U8" i="1"/>
  <c r="Y8" i="1"/>
  <c r="X9" i="1"/>
  <c r="W10" i="1"/>
  <c r="V11" i="1"/>
  <c r="U12" i="1"/>
  <c r="Y12" i="1"/>
  <c r="W13" i="1"/>
  <c r="V14" i="1"/>
  <c r="U15" i="1"/>
  <c r="Y15" i="1"/>
  <c r="W16" i="1"/>
  <c r="V17" i="1"/>
  <c r="U18" i="1"/>
  <c r="Y18" i="1"/>
  <c r="X19" i="1"/>
  <c r="W20" i="1"/>
  <c r="V21" i="1"/>
  <c r="U22" i="1"/>
  <c r="Y22" i="1"/>
  <c r="X23" i="1"/>
  <c r="V24" i="1"/>
  <c r="U25" i="1"/>
  <c r="Y25" i="1"/>
  <c r="X26" i="1"/>
  <c r="W27" i="1"/>
  <c r="Y17" i="1"/>
  <c r="N17" i="1"/>
  <c r="W7" i="1"/>
  <c r="V8" i="1"/>
  <c r="U9" i="1"/>
  <c r="Y9" i="1"/>
  <c r="X10" i="1"/>
  <c r="W11" i="1"/>
  <c r="V12" i="1"/>
  <c r="X13" i="1"/>
  <c r="W14" i="1"/>
  <c r="V15" i="1"/>
  <c r="X16" i="1"/>
  <c r="W17" i="1"/>
  <c r="V18" i="1"/>
  <c r="U19" i="1"/>
  <c r="Y19" i="1"/>
  <c r="X20" i="1"/>
  <c r="W21" i="1"/>
  <c r="V22" i="1"/>
  <c r="U23" i="1"/>
  <c r="Y23" i="1"/>
  <c r="W24" i="1"/>
  <c r="V25" i="1"/>
  <c r="U26" i="1"/>
  <c r="Y26" i="1"/>
  <c r="X27" i="1"/>
  <c r="U14" i="1"/>
  <c r="Y14" i="1"/>
  <c r="U17" i="1"/>
  <c r="U21" i="1"/>
  <c r="Y21" i="1"/>
  <c r="U24" i="1"/>
  <c r="O17" i="1"/>
  <c r="U10" i="1"/>
  <c r="U13" i="1"/>
  <c r="U16" i="1"/>
  <c r="U20" i="1"/>
  <c r="U27" i="1"/>
  <c r="L21" i="1"/>
  <c r="M24" i="1"/>
  <c r="N7" i="1"/>
  <c r="N11" i="1"/>
  <c r="P21" i="1"/>
  <c r="L17" i="1"/>
  <c r="M21" i="1"/>
  <c r="N24" i="1"/>
  <c r="O7" i="1"/>
  <c r="O11" i="1"/>
  <c r="P17" i="1"/>
  <c r="L24" i="1"/>
  <c r="M7" i="1"/>
  <c r="M11" i="1"/>
  <c r="O21" i="1"/>
  <c r="P24" i="1"/>
  <c r="L7" i="1"/>
  <c r="L11" i="1"/>
  <c r="L27" i="1"/>
  <c r="L20" i="1"/>
  <c r="L16" i="1"/>
  <c r="L13" i="1"/>
  <c r="L10" i="1"/>
  <c r="M27" i="1"/>
  <c r="M20" i="1"/>
  <c r="M16" i="1"/>
  <c r="M13" i="1"/>
  <c r="M10" i="1"/>
  <c r="N27" i="1"/>
  <c r="N20" i="1"/>
  <c r="N16" i="1"/>
  <c r="N13" i="1"/>
  <c r="N10" i="1"/>
  <c r="O27" i="1"/>
  <c r="O20" i="1"/>
  <c r="O16" i="1"/>
  <c r="O13" i="1"/>
  <c r="O10" i="1"/>
  <c r="L26" i="1"/>
  <c r="L19" i="1"/>
  <c r="L9" i="1"/>
  <c r="M26" i="1"/>
  <c r="M19" i="1"/>
  <c r="M9" i="1"/>
  <c r="N26" i="1"/>
  <c r="N19" i="1"/>
  <c r="N9" i="1"/>
  <c r="O26" i="1"/>
  <c r="O19" i="1"/>
  <c r="O9" i="1"/>
  <c r="L25" i="1"/>
  <c r="L22" i="1"/>
  <c r="L18" i="1"/>
  <c r="L15" i="1"/>
  <c r="L12" i="1"/>
  <c r="L8" i="1"/>
  <c r="M25" i="1"/>
  <c r="M22" i="1"/>
  <c r="M18" i="1"/>
  <c r="M15" i="1"/>
  <c r="M12" i="1"/>
  <c r="M8" i="1"/>
  <c r="N25" i="1"/>
  <c r="N22" i="1"/>
  <c r="N18" i="1"/>
  <c r="N15" i="1"/>
  <c r="N12" i="1"/>
  <c r="N8" i="1"/>
  <c r="O25" i="1"/>
  <c r="O22" i="1"/>
  <c r="O18" i="1"/>
  <c r="O15" i="1"/>
  <c r="O12" i="1"/>
  <c r="O8" i="1"/>
  <c r="K23" i="1"/>
  <c r="K14" i="1"/>
  <c r="P23" i="1" l="1"/>
  <c r="O23" i="1"/>
  <c r="N23" i="1"/>
  <c r="M23" i="1"/>
  <c r="L23" i="1"/>
  <c r="P14" i="1"/>
  <c r="O14" i="1"/>
  <c r="N14" i="1"/>
  <c r="M14" i="1"/>
  <c r="L14" i="1"/>
</calcChain>
</file>

<file path=xl/sharedStrings.xml><?xml version="1.0" encoding="utf-8"?>
<sst xmlns="http://schemas.openxmlformats.org/spreadsheetml/2006/main" count="75" uniqueCount="40">
  <si>
    <t>م</t>
  </si>
  <si>
    <t>اسم اللاعب</t>
  </si>
  <si>
    <t>المركز</t>
  </si>
  <si>
    <t>Beep test</t>
  </si>
  <si>
    <t>GK</t>
  </si>
  <si>
    <t>R</t>
  </si>
  <si>
    <t>Total</t>
  </si>
  <si>
    <t>2008 Team Gym Weights</t>
  </si>
  <si>
    <t>Squat</t>
  </si>
  <si>
    <t>Wt</t>
  </si>
  <si>
    <t>%</t>
  </si>
  <si>
    <t>1RM</t>
  </si>
  <si>
    <t>التكرارات</t>
  </si>
  <si>
    <t>النسبة</t>
  </si>
  <si>
    <t>Chest</t>
  </si>
  <si>
    <t>Power Clean</t>
  </si>
  <si>
    <t>400 M</t>
  </si>
  <si>
    <t>200 M</t>
  </si>
  <si>
    <t>100 M</t>
  </si>
  <si>
    <t>كشف قياسات لمنتخب 2008 رجال</t>
  </si>
  <si>
    <t>12.0 - 12.8 Sec</t>
  </si>
  <si>
    <t>25.0 - 27.0 Sec</t>
  </si>
  <si>
    <t>55.0 - 1:04 Min</t>
  </si>
  <si>
    <t>النادي</t>
  </si>
  <si>
    <t>الشمس</t>
  </si>
  <si>
    <t>الاهلي</t>
  </si>
  <si>
    <t>سبورتنج</t>
  </si>
  <si>
    <t>LP</t>
  </si>
  <si>
    <t>الاولمبي</t>
  </si>
  <si>
    <t>RB</t>
  </si>
  <si>
    <t>RW</t>
  </si>
  <si>
    <t>LB</t>
  </si>
  <si>
    <t>الزمالك</t>
  </si>
  <si>
    <t>سموحه</t>
  </si>
  <si>
    <t>الطيران</t>
  </si>
  <si>
    <t>المقاولون</t>
  </si>
  <si>
    <t>الزهور</t>
  </si>
  <si>
    <t>LW</t>
  </si>
  <si>
    <t>CB</t>
  </si>
  <si>
    <t>الجيش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</si>
</sst>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Arial Rounded MT Bold"/>
      <family val="2"/>
    </font>
    <font>
      <b/>
      <sz val="14"/>
      <color theme="1"/>
      <name val="Bahnschrift SemiBold"/>
      <family val="2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8" borderId="18" xfId="0" applyFill="1" applyBorder="1" applyAlignment="1">
      <alignment horizontal="center" vertical="center"/>
    </xf>
    <xf numFmtId="0" fontId="0" fillId="0" borderId="17" xfId="0" applyBorder="1"/>
    <xf numFmtId="0" fontId="0" fillId="7" borderId="21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" fontId="0" fillId="6" borderId="22" xfId="0" applyNumberForma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" fontId="0" fillId="6" borderId="34" xfId="0" applyNumberFormat="1" applyFill="1" applyBorder="1" applyAlignment="1">
      <alignment horizontal="center" vertical="center"/>
    </xf>
    <xf numFmtId="1" fontId="0" fillId="3" borderId="28" xfId="0" applyNumberFormat="1" applyFill="1" applyBorder="1" applyAlignment="1">
      <alignment horizontal="center" vertical="center"/>
    </xf>
    <xf numFmtId="1" fontId="0" fillId="6" borderId="28" xfId="0" applyNumberForma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0" fillId="5" borderId="22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8" fillId="0" borderId="35" xfId="0" applyNumberFormat="1" applyFont="1" applyBorder="1" applyAlignment="1">
      <alignment horizontal="center" vertical="center"/>
    </xf>
    <xf numFmtId="1" fontId="8" fillId="0" borderId="36" xfId="0" applyNumberFormat="1" applyFont="1" applyBorder="1" applyAlignment="1">
      <alignment horizontal="center" vertical="center"/>
    </xf>
    <xf numFmtId="9" fontId="9" fillId="9" borderId="35" xfId="0" applyNumberFormat="1" applyFont="1" applyFill="1" applyBorder="1" applyAlignment="1">
      <alignment horizontal="center" vertical="center"/>
    </xf>
    <xf numFmtId="9" fontId="9" fillId="9" borderId="36" xfId="0" applyNumberFormat="1" applyFont="1" applyFill="1" applyBorder="1" applyAlignment="1">
      <alignment horizontal="center" vertical="center"/>
    </xf>
    <xf numFmtId="1" fontId="8" fillId="5" borderId="35" xfId="0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9" fontId="9" fillId="9" borderId="39" xfId="0" applyNumberFormat="1" applyFont="1" applyFill="1" applyBorder="1" applyAlignment="1">
      <alignment horizontal="center" vertical="center"/>
    </xf>
    <xf numFmtId="9" fontId="9" fillId="9" borderId="40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3E4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6E53-BF50-4E88-A7F3-9A36ADE95712}">
  <dimension ref="A1:AL35"/>
  <sheetViews>
    <sheetView rightToLeft="1" tabSelected="1" zoomScale="70" zoomScaleNormal="70" workbookViewId="0">
      <pane ySplit="6" topLeftCell="A7" activePane="bottomLeft" state="frozen"/>
      <selection pane="bottomLeft" activeCell="A24" sqref="A24:XFD24"/>
    </sheetView>
  </sheetViews>
  <sheetFormatPr defaultColWidth="8.85546875" defaultRowHeight="16.899999999999999" customHeight="1" x14ac:dyDescent="0.25"/>
  <cols>
    <col min="1" max="1" width="3.85546875" style="1" customWidth="1"/>
    <col min="2" max="2" width="22.140625" style="1" bestFit="1" customWidth="1"/>
    <col min="3" max="3" width="12.140625" style="1" customWidth="1"/>
    <col min="4" max="4" width="6.85546875" style="1" bestFit="1" customWidth="1"/>
    <col min="5" max="7" width="5" style="1" customWidth="1"/>
    <col min="8" max="10" width="9.140625" style="1" customWidth="1"/>
    <col min="11" max="11" width="15" style="1" customWidth="1"/>
    <col min="12" max="16" width="11.7109375" customWidth="1"/>
    <col min="17" max="19" width="9.140625" style="1" customWidth="1"/>
    <col min="20" max="20" width="15.85546875" style="1" customWidth="1"/>
    <col min="21" max="25" width="11.7109375" customWidth="1"/>
    <col min="26" max="28" width="9.140625" style="1" customWidth="1"/>
    <col min="29" max="29" width="17" style="1" customWidth="1"/>
    <col min="30" max="34" width="11.7109375" customWidth="1"/>
    <col min="35" max="35" width="15.28515625" style="1" customWidth="1"/>
    <col min="36" max="36" width="14.85546875" style="1" customWidth="1"/>
    <col min="37" max="37" width="15.42578125" style="1" customWidth="1"/>
    <col min="38" max="38" width="2" style="1" customWidth="1"/>
    <col min="40" max="40" width="14" customWidth="1"/>
  </cols>
  <sheetData>
    <row r="1" spans="1:38" ht="21" hidden="1" customHeight="1" thickBot="1" x14ac:dyDescent="0.3">
      <c r="A1" s="11"/>
      <c r="B1" s="12" t="s">
        <v>12</v>
      </c>
      <c r="C1" s="12"/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/>
      <c r="M1" s="12"/>
      <c r="N1" s="12"/>
      <c r="O1" s="12"/>
      <c r="P1" s="12"/>
      <c r="Q1" s="12">
        <v>9</v>
      </c>
      <c r="R1" s="12">
        <v>10</v>
      </c>
      <c r="S1" s="12">
        <v>11</v>
      </c>
      <c r="T1" s="12">
        <v>12</v>
      </c>
      <c r="U1" s="12"/>
      <c r="V1" s="12"/>
      <c r="W1" s="12"/>
      <c r="X1" s="12"/>
      <c r="Y1" s="12"/>
      <c r="Z1" s="12">
        <v>13</v>
      </c>
      <c r="AA1" s="12">
        <v>14</v>
      </c>
      <c r="AB1" s="12">
        <v>15</v>
      </c>
      <c r="AC1" s="12">
        <v>16</v>
      </c>
      <c r="AD1" s="12"/>
      <c r="AE1" s="12"/>
      <c r="AF1" s="12"/>
      <c r="AG1" s="12"/>
      <c r="AH1" s="12"/>
      <c r="AI1" s="12">
        <v>17</v>
      </c>
      <c r="AJ1" s="12">
        <v>18</v>
      </c>
      <c r="AK1" s="12">
        <v>19</v>
      </c>
      <c r="AL1" s="12">
        <v>20</v>
      </c>
    </row>
    <row r="2" spans="1:38" ht="21" hidden="1" customHeight="1" thickTop="1" thickBot="1" x14ac:dyDescent="0.3">
      <c r="A2" s="13"/>
      <c r="B2" s="14" t="s">
        <v>13</v>
      </c>
      <c r="C2" s="14"/>
      <c r="D2" s="14">
        <v>100</v>
      </c>
      <c r="E2" s="14">
        <v>95.4</v>
      </c>
      <c r="F2" s="14">
        <v>92.5</v>
      </c>
      <c r="G2" s="14">
        <v>90</v>
      </c>
      <c r="H2" s="14">
        <v>87.5</v>
      </c>
      <c r="I2" s="14">
        <v>85</v>
      </c>
      <c r="J2" s="14">
        <v>82.2</v>
      </c>
      <c r="K2" s="14">
        <v>80</v>
      </c>
      <c r="L2" s="14"/>
      <c r="M2" s="14"/>
      <c r="N2" s="14"/>
      <c r="O2" s="14"/>
      <c r="P2" s="14"/>
      <c r="Q2" s="14">
        <v>77.5</v>
      </c>
      <c r="R2" s="14">
        <v>75</v>
      </c>
      <c r="S2" s="14">
        <v>72.5</v>
      </c>
      <c r="T2" s="14">
        <v>70</v>
      </c>
      <c r="U2" s="14"/>
      <c r="V2" s="14"/>
      <c r="W2" s="14"/>
      <c r="X2" s="14"/>
      <c r="Y2" s="14"/>
      <c r="Z2" s="14">
        <v>67.5</v>
      </c>
      <c r="AA2" s="14">
        <v>65</v>
      </c>
      <c r="AB2" s="14">
        <v>62.5</v>
      </c>
      <c r="AC2" s="14">
        <v>59</v>
      </c>
      <c r="AD2" s="14"/>
      <c r="AE2" s="14"/>
      <c r="AF2" s="14"/>
      <c r="AG2" s="14"/>
      <c r="AH2" s="14"/>
      <c r="AI2" s="14">
        <v>56</v>
      </c>
      <c r="AJ2" s="14">
        <v>53</v>
      </c>
      <c r="AK2" s="14">
        <v>50</v>
      </c>
      <c r="AL2" s="14">
        <v>47</v>
      </c>
    </row>
    <row r="3" spans="1:38" ht="23.45" customHeight="1" thickTop="1" thickBot="1" x14ac:dyDescent="0.3">
      <c r="A3" s="71" t="s">
        <v>19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3"/>
    </row>
    <row r="4" spans="1:38" ht="19.5" customHeight="1" thickBot="1" x14ac:dyDescent="0.3">
      <c r="A4" s="77" t="s">
        <v>0</v>
      </c>
      <c r="B4" s="76" t="s">
        <v>1</v>
      </c>
      <c r="C4" s="76" t="s">
        <v>23</v>
      </c>
      <c r="D4" s="77" t="s">
        <v>2</v>
      </c>
      <c r="E4" s="89" t="s">
        <v>3</v>
      </c>
      <c r="F4" s="90"/>
      <c r="G4" s="91"/>
      <c r="H4" s="86" t="s">
        <v>7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8"/>
      <c r="AI4" s="74" t="s">
        <v>16</v>
      </c>
      <c r="AJ4" s="75" t="s">
        <v>17</v>
      </c>
      <c r="AK4" s="75" t="s">
        <v>18</v>
      </c>
      <c r="AL4" s="75" t="s">
        <v>6</v>
      </c>
    </row>
    <row r="5" spans="1:38" ht="19.5" customHeight="1" thickBot="1" x14ac:dyDescent="0.3">
      <c r="A5" s="77"/>
      <c r="B5" s="76"/>
      <c r="C5" s="76"/>
      <c r="D5" s="77"/>
      <c r="E5" s="92"/>
      <c r="F5" s="93"/>
      <c r="G5" s="94"/>
      <c r="H5" s="78" t="s">
        <v>14</v>
      </c>
      <c r="I5" s="79"/>
      <c r="J5" s="79"/>
      <c r="K5" s="79"/>
      <c r="L5" s="79"/>
      <c r="M5" s="79"/>
      <c r="N5" s="79"/>
      <c r="O5" s="79"/>
      <c r="P5" s="80"/>
      <c r="Q5" s="81" t="s">
        <v>8</v>
      </c>
      <c r="R5" s="82"/>
      <c r="S5" s="82"/>
      <c r="T5" s="82"/>
      <c r="U5" s="82"/>
      <c r="V5" s="82"/>
      <c r="W5" s="82"/>
      <c r="X5" s="82"/>
      <c r="Y5" s="83"/>
      <c r="Z5" s="84" t="s">
        <v>15</v>
      </c>
      <c r="AA5" s="84"/>
      <c r="AB5" s="84"/>
      <c r="AC5" s="84"/>
      <c r="AD5" s="84"/>
      <c r="AE5" s="84"/>
      <c r="AF5" s="84"/>
      <c r="AG5" s="84"/>
      <c r="AH5" s="85"/>
      <c r="AI5" s="74"/>
      <c r="AJ5" s="75"/>
      <c r="AK5" s="75"/>
      <c r="AL5" s="75"/>
    </row>
    <row r="6" spans="1:38" ht="18" customHeight="1" thickBot="1" x14ac:dyDescent="0.3">
      <c r="A6" s="77"/>
      <c r="B6" s="76"/>
      <c r="C6" s="76"/>
      <c r="D6" s="76"/>
      <c r="E6" s="60">
        <v>1</v>
      </c>
      <c r="F6" s="9">
        <v>2</v>
      </c>
      <c r="G6" s="60">
        <v>3</v>
      </c>
      <c r="H6" s="57" t="s">
        <v>9</v>
      </c>
      <c r="I6" s="57" t="s">
        <v>5</v>
      </c>
      <c r="J6" s="57" t="s">
        <v>10</v>
      </c>
      <c r="K6" s="58" t="s">
        <v>11</v>
      </c>
      <c r="L6" s="59">
        <v>0.5</v>
      </c>
      <c r="M6" s="58">
        <v>0.6</v>
      </c>
      <c r="N6" s="58">
        <v>0.7</v>
      </c>
      <c r="O6" s="58">
        <v>0.8</v>
      </c>
      <c r="P6" s="58">
        <v>0.9</v>
      </c>
      <c r="Q6" s="57" t="s">
        <v>9</v>
      </c>
      <c r="R6" s="57" t="s">
        <v>5</v>
      </c>
      <c r="S6" s="57" t="s">
        <v>10</v>
      </c>
      <c r="T6" s="58" t="s">
        <v>11</v>
      </c>
      <c r="U6" s="59">
        <v>0.5</v>
      </c>
      <c r="V6" s="58">
        <v>0.6</v>
      </c>
      <c r="W6" s="58">
        <v>0.7</v>
      </c>
      <c r="X6" s="58">
        <v>0.8</v>
      </c>
      <c r="Y6" s="58">
        <v>0.9</v>
      </c>
      <c r="Z6" s="15" t="s">
        <v>9</v>
      </c>
      <c r="AA6" s="15" t="s">
        <v>5</v>
      </c>
      <c r="AB6" s="15" t="s">
        <v>10</v>
      </c>
      <c r="AC6" s="53" t="s">
        <v>11</v>
      </c>
      <c r="AD6" s="52">
        <v>0.5</v>
      </c>
      <c r="AE6" s="53">
        <v>0.6</v>
      </c>
      <c r="AF6" s="53">
        <v>0.7</v>
      </c>
      <c r="AG6" s="53">
        <v>0.8</v>
      </c>
      <c r="AH6" s="53">
        <v>0.9</v>
      </c>
      <c r="AI6" s="10" t="s">
        <v>22</v>
      </c>
      <c r="AJ6" s="8" t="s">
        <v>21</v>
      </c>
      <c r="AK6" s="8" t="s">
        <v>20</v>
      </c>
      <c r="AL6" s="75"/>
    </row>
    <row r="7" spans="1:38" ht="31.5" customHeight="1" thickBot="1" x14ac:dyDescent="0.3">
      <c r="A7" s="37">
        <v>1</v>
      </c>
      <c r="B7" s="29"/>
      <c r="C7" s="45" t="s">
        <v>24</v>
      </c>
      <c r="D7" s="38" t="s">
        <v>4</v>
      </c>
      <c r="E7" s="61">
        <v>4.2</v>
      </c>
      <c r="F7" s="61">
        <v>5.33</v>
      </c>
      <c r="G7" s="61">
        <v>6</v>
      </c>
      <c r="H7" s="42">
        <v>50</v>
      </c>
      <c r="I7" s="31">
        <v>12</v>
      </c>
      <c r="J7" s="31">
        <f t="shared" ref="J7:J28" si="0">IF(I7=$R$1,$R$2,IF(I7=$Q$1,$Q$2,IF(I7=$K$1,$K$2,IF(I7=$J$1,$J$2,IF(I7=$I$1,$I$2,IF(I7=$H$1,$H$2,IF(I7=$G$1,$G$2,IF(I7=$F$1,$F$2,IF(I7=$E$1,$E$2,IF(I7=$D$1,$D$2,IF(I7=$S$1,$S$2,IF(I7=$T$1,$T$2,IF(I7=$Z$1,$Z$2,IF(I7=$AA$1,$AA$2,IF(I7=$AB$1,$AB$2,IF(I7=$AC$1,$AC$2,IF(I7=$AI$1,$AI$2,IF(I7=$AJ$1,$AJ$2,IF(I7=$AK$1,$AK$2,IF(I7=$AL$1,$AL$2,0))))))))))))))))))))</f>
        <v>70</v>
      </c>
      <c r="K7" s="51">
        <f t="shared" ref="K7:K28" si="1">IF(ISBLANK(I7),"ـــــــــ",(H7/J7*100))</f>
        <v>71.428571428571431</v>
      </c>
      <c r="L7" s="50">
        <f>K7*$L$6</f>
        <v>35.714285714285715</v>
      </c>
      <c r="M7" s="51">
        <f>K7*$M$6</f>
        <v>42.857142857142854</v>
      </c>
      <c r="N7" s="51">
        <f>K7*$N$6</f>
        <v>50</v>
      </c>
      <c r="O7" s="51">
        <f>K7*$O$6</f>
        <v>57.142857142857146</v>
      </c>
      <c r="P7" s="51">
        <f>K7*$P$6</f>
        <v>64.285714285714292</v>
      </c>
      <c r="Q7" s="31">
        <v>80</v>
      </c>
      <c r="R7" s="31">
        <v>6</v>
      </c>
      <c r="S7" s="31">
        <f t="shared" ref="S7:S28" si="2">IF(R7=$R$1,$R$2,IF(R7=$Q$1,$Q$2,IF(R7=$K$1,$K$2,IF(R7=$J$1,$J$2,IF(R7=$I$1,$I$2,IF(R7=$H$1,$H$2,IF(R7=$G$1,$G$2,IF(R7=$F$1,$F$2,IF(R7=$E$1,$ET$2,IF(R7=$D$1,$D$2,IF(R7=$S$1,$S$2,IF(R7=$T$1,$T$2,IF(R7=$Z$1,$Z$2,IF(R7=$AA$1,$AA$2,IF(R7=$AB$1,$AB$2,IF(R7=$AC$1,$AC$2,IF(R7=$AI$1,$AI$2,IF(R7=$AJ$1,$AJ$2,IF(R7=$AK$1,$AK$2,IF(R7=$AL$1,$AL$2,0))))))))))))))))))))</f>
        <v>85</v>
      </c>
      <c r="T7" s="51">
        <f t="shared" ref="T7:T28" si="3">IF(ISBLANK(R7),"ـــــــــ",(Q7/S7*100))</f>
        <v>94.117647058823522</v>
      </c>
      <c r="U7" s="50">
        <f>T7*$L$6</f>
        <v>47.058823529411761</v>
      </c>
      <c r="V7" s="51">
        <f>T7*$M$6</f>
        <v>56.470588235294109</v>
      </c>
      <c r="W7" s="51">
        <f>T7*$N$6</f>
        <v>65.882352941176464</v>
      </c>
      <c r="X7" s="51">
        <f>T7*$O$6</f>
        <v>75.294117647058826</v>
      </c>
      <c r="Y7" s="51">
        <f>T7*$P$6</f>
        <v>84.705882352941174</v>
      </c>
      <c r="Z7" s="31">
        <v>50</v>
      </c>
      <c r="AA7" s="31">
        <v>15</v>
      </c>
      <c r="AB7" s="31">
        <f t="shared" ref="AB7:AB33" si="4">IF(AA7=$R$1,$R$2,IF(AA7=$Q$1,$Q$2,IF(AA7=$K$1,$K$2,IF(AA7=$J$1,$J$2,IF(AA7=$I$1,$I$2,IF(AA7=$H$1,$H$2,IF(AA7=$G$1,$G$2,IF(AA7=$F$1,$F$2,IF(AA7=$E$1,$ET$2,IF(AA7=$D$1,$D$2,IF(AA7=$S$1,$S$2,IF(AA7=$T$1,$T$2,IF(AA7=$Z$1,$Z$2,IF(AA7=$AA$1,$AA$2,IF(AA7=$AB$1,$AB$2,IF(AA7=$AC$1,$AC$2,IF(AA7=$AI$1,$AI$2,IF(AA7=$AJ$1,$AJ$2,IF(AA7=$AK$1,$AK$2,IF(AA7=$AL$1,$AL$2,0))))))))))))))))))))</f>
        <v>62.5</v>
      </c>
      <c r="AC7" s="51">
        <f>IF(ISBLANK(AA7),"ـــــــــ",(Z7/AB7*100))</f>
        <v>80</v>
      </c>
      <c r="AD7" s="50">
        <f>AC7*$L$6</f>
        <v>40</v>
      </c>
      <c r="AE7" s="51">
        <f>AC7*$M$6</f>
        <v>48</v>
      </c>
      <c r="AF7" s="51">
        <f>AC7*$N$6</f>
        <v>56</v>
      </c>
      <c r="AG7" s="51">
        <f>AC7*$O$6</f>
        <v>64</v>
      </c>
      <c r="AH7" s="51">
        <f>AC7*$P$6</f>
        <v>72</v>
      </c>
      <c r="AI7" s="33"/>
      <c r="AJ7" s="30"/>
      <c r="AK7" s="30"/>
      <c r="AL7" s="32"/>
    </row>
    <row r="8" spans="1:38" ht="31.5" customHeight="1" thickBot="1" x14ac:dyDescent="0.3">
      <c r="A8" s="39">
        <v>2</v>
      </c>
      <c r="B8" s="23"/>
      <c r="C8" s="46" t="s">
        <v>25</v>
      </c>
      <c r="D8" s="40" t="s">
        <v>4</v>
      </c>
      <c r="E8" s="62">
        <v>5.3</v>
      </c>
      <c r="F8" s="62"/>
      <c r="G8" s="62">
        <v>5.6</v>
      </c>
      <c r="H8" s="43">
        <v>40</v>
      </c>
      <c r="I8" s="25">
        <v>8</v>
      </c>
      <c r="J8" s="25">
        <f t="shared" si="0"/>
        <v>80</v>
      </c>
      <c r="K8" s="51">
        <f t="shared" si="1"/>
        <v>50</v>
      </c>
      <c r="L8" s="50">
        <f t="shared" ref="L8:L27" si="5">K8*$L$6</f>
        <v>25</v>
      </c>
      <c r="M8" s="51">
        <f t="shared" ref="M8:M27" si="6">K8*$M$6</f>
        <v>30</v>
      </c>
      <c r="N8" s="51">
        <f t="shared" ref="N8:N27" si="7">K8*$N$6</f>
        <v>35</v>
      </c>
      <c r="O8" s="51">
        <f t="shared" ref="O8:O27" si="8">K8*$O$6</f>
        <v>40</v>
      </c>
      <c r="P8" s="51">
        <f t="shared" ref="P8:P27" si="9">K8*$P$6</f>
        <v>45</v>
      </c>
      <c r="Q8" s="25">
        <v>70</v>
      </c>
      <c r="R8" s="25">
        <v>7</v>
      </c>
      <c r="S8" s="25">
        <f t="shared" si="2"/>
        <v>82.2</v>
      </c>
      <c r="T8" s="51">
        <f t="shared" si="3"/>
        <v>85.15815085158151</v>
      </c>
      <c r="U8" s="50">
        <f t="shared" ref="U8:U27" si="10">T8*$L$6</f>
        <v>42.579075425790755</v>
      </c>
      <c r="V8" s="51">
        <f t="shared" ref="V8:V27" si="11">T8*$M$6</f>
        <v>51.094890510948908</v>
      </c>
      <c r="W8" s="51">
        <f t="shared" ref="W8:W27" si="12">T8*$N$6</f>
        <v>59.610705596107053</v>
      </c>
      <c r="X8" s="51">
        <f t="shared" ref="X8:X27" si="13">T8*$O$6</f>
        <v>68.126520681265205</v>
      </c>
      <c r="Y8" s="51">
        <f t="shared" ref="Y8:Y27" si="14">T8*$P$6</f>
        <v>76.642335766423358</v>
      </c>
      <c r="Z8" s="25">
        <v>50</v>
      </c>
      <c r="AA8" s="25">
        <v>3</v>
      </c>
      <c r="AB8" s="25">
        <f t="shared" si="4"/>
        <v>92.5</v>
      </c>
      <c r="AC8" s="51">
        <f t="shared" ref="AC8:AC28" si="15">IF(ISBLANK(AA8),"ـــــــــ",(Z8/AB8*100))</f>
        <v>54.054054054054056</v>
      </c>
      <c r="AD8" s="50">
        <f t="shared" ref="AD8:AD27" si="16">AC8*$L$6</f>
        <v>27.027027027027028</v>
      </c>
      <c r="AE8" s="51">
        <f t="shared" ref="AE8:AE27" si="17">AC8*$M$6</f>
        <v>32.432432432432435</v>
      </c>
      <c r="AF8" s="51">
        <f t="shared" ref="AF8:AF27" si="18">AC8*$N$6</f>
        <v>37.837837837837839</v>
      </c>
      <c r="AG8" s="51">
        <f t="shared" ref="AG8:AG27" si="19">AC8*$O$6</f>
        <v>43.243243243243249</v>
      </c>
      <c r="AH8" s="51">
        <f t="shared" ref="AH8:AH27" si="20">AC8*$P$6</f>
        <v>48.648648648648653</v>
      </c>
      <c r="AI8" s="34"/>
      <c r="AJ8" s="24"/>
      <c r="AK8" s="24"/>
      <c r="AL8" s="26"/>
    </row>
    <row r="9" spans="1:38" ht="31.5" customHeight="1" thickBot="1" x14ac:dyDescent="0.3">
      <c r="A9" s="37">
        <v>3</v>
      </c>
      <c r="B9" s="19"/>
      <c r="C9" s="47" t="s">
        <v>32</v>
      </c>
      <c r="D9" s="41" t="s">
        <v>4</v>
      </c>
      <c r="E9" s="63">
        <v>4.37</v>
      </c>
      <c r="F9" s="63">
        <v>5.33</v>
      </c>
      <c r="G9" s="63">
        <v>5.3</v>
      </c>
      <c r="H9" s="42">
        <v>50</v>
      </c>
      <c r="I9" s="21">
        <v>4</v>
      </c>
      <c r="J9" s="21">
        <f t="shared" si="0"/>
        <v>90</v>
      </c>
      <c r="K9" s="51">
        <f t="shared" si="1"/>
        <v>55.555555555555557</v>
      </c>
      <c r="L9" s="50">
        <f t="shared" si="5"/>
        <v>27.777777777777779</v>
      </c>
      <c r="M9" s="51">
        <f t="shared" si="6"/>
        <v>33.333333333333336</v>
      </c>
      <c r="N9" s="51">
        <f t="shared" si="7"/>
        <v>38.888888888888886</v>
      </c>
      <c r="O9" s="51">
        <f t="shared" si="8"/>
        <v>44.44444444444445</v>
      </c>
      <c r="P9" s="51">
        <f t="shared" si="9"/>
        <v>50</v>
      </c>
      <c r="Q9" s="31">
        <v>80</v>
      </c>
      <c r="R9" s="21">
        <v>15</v>
      </c>
      <c r="S9" s="21">
        <f t="shared" si="2"/>
        <v>62.5</v>
      </c>
      <c r="T9" s="51">
        <f t="shared" si="3"/>
        <v>128</v>
      </c>
      <c r="U9" s="50">
        <f t="shared" si="10"/>
        <v>64</v>
      </c>
      <c r="V9" s="51">
        <f t="shared" si="11"/>
        <v>76.8</v>
      </c>
      <c r="W9" s="51">
        <f t="shared" si="12"/>
        <v>89.6</v>
      </c>
      <c r="X9" s="51">
        <f t="shared" si="13"/>
        <v>102.4</v>
      </c>
      <c r="Y9" s="51">
        <f t="shared" si="14"/>
        <v>115.2</v>
      </c>
      <c r="Z9" s="31">
        <v>50</v>
      </c>
      <c r="AA9" s="21">
        <v>7</v>
      </c>
      <c r="AB9" s="21">
        <f t="shared" si="4"/>
        <v>82.2</v>
      </c>
      <c r="AC9" s="51">
        <f t="shared" si="15"/>
        <v>60.827250608272507</v>
      </c>
      <c r="AD9" s="50">
        <f t="shared" si="16"/>
        <v>30.413625304136254</v>
      </c>
      <c r="AE9" s="51">
        <f t="shared" si="17"/>
        <v>36.496350364963504</v>
      </c>
      <c r="AF9" s="51">
        <f t="shared" si="18"/>
        <v>42.579075425790755</v>
      </c>
      <c r="AG9" s="51">
        <f t="shared" si="19"/>
        <v>48.661800486618006</v>
      </c>
      <c r="AH9" s="51">
        <f t="shared" si="20"/>
        <v>54.744525547445257</v>
      </c>
      <c r="AI9" s="35"/>
      <c r="AJ9" s="20"/>
      <c r="AK9" s="20"/>
      <c r="AL9" s="22"/>
    </row>
    <row r="10" spans="1:38" ht="31.5" customHeight="1" thickBot="1" x14ac:dyDescent="0.3">
      <c r="A10" s="39">
        <v>4</v>
      </c>
      <c r="B10" s="23"/>
      <c r="C10" s="46" t="s">
        <v>32</v>
      </c>
      <c r="D10" s="40" t="s">
        <v>38</v>
      </c>
      <c r="E10" s="62">
        <v>8.24</v>
      </c>
      <c r="F10" s="62">
        <v>9.42</v>
      </c>
      <c r="G10" s="62">
        <v>9.6999999999999993</v>
      </c>
      <c r="H10" s="43">
        <v>50</v>
      </c>
      <c r="I10" s="25">
        <v>17</v>
      </c>
      <c r="J10" s="25">
        <f t="shared" si="0"/>
        <v>56</v>
      </c>
      <c r="K10" s="51">
        <f t="shared" si="1"/>
        <v>89.285714285714292</v>
      </c>
      <c r="L10" s="50">
        <f t="shared" si="5"/>
        <v>44.642857142857146</v>
      </c>
      <c r="M10" s="51">
        <f t="shared" si="6"/>
        <v>53.571428571428577</v>
      </c>
      <c r="N10" s="51">
        <f t="shared" si="7"/>
        <v>62.5</v>
      </c>
      <c r="O10" s="51">
        <f t="shared" si="8"/>
        <v>71.428571428571431</v>
      </c>
      <c r="P10" s="51">
        <f t="shared" si="9"/>
        <v>80.357142857142861</v>
      </c>
      <c r="Q10" s="25">
        <v>80</v>
      </c>
      <c r="R10" s="25">
        <v>20</v>
      </c>
      <c r="S10" s="25">
        <f t="shared" si="2"/>
        <v>47</v>
      </c>
      <c r="T10" s="51">
        <f t="shared" si="3"/>
        <v>170.21276595744681</v>
      </c>
      <c r="U10" s="50">
        <f t="shared" si="10"/>
        <v>85.106382978723403</v>
      </c>
      <c r="V10" s="51">
        <f t="shared" si="11"/>
        <v>102.12765957446808</v>
      </c>
      <c r="W10" s="51">
        <f t="shared" si="12"/>
        <v>119.14893617021275</v>
      </c>
      <c r="X10" s="51">
        <f t="shared" si="13"/>
        <v>136.17021276595744</v>
      </c>
      <c r="Y10" s="51">
        <f t="shared" si="14"/>
        <v>153.19148936170214</v>
      </c>
      <c r="Z10" s="25">
        <v>60</v>
      </c>
      <c r="AA10" s="25">
        <v>7</v>
      </c>
      <c r="AB10" s="25">
        <f t="shared" si="4"/>
        <v>82.2</v>
      </c>
      <c r="AC10" s="51">
        <f t="shared" si="15"/>
        <v>72.992700729927009</v>
      </c>
      <c r="AD10" s="50">
        <f t="shared" si="16"/>
        <v>36.496350364963504</v>
      </c>
      <c r="AE10" s="51">
        <f t="shared" si="17"/>
        <v>43.795620437956202</v>
      </c>
      <c r="AF10" s="51">
        <f t="shared" si="18"/>
        <v>51.0948905109489</v>
      </c>
      <c r="AG10" s="51">
        <f t="shared" si="19"/>
        <v>58.394160583941613</v>
      </c>
      <c r="AH10" s="51">
        <f t="shared" si="20"/>
        <v>65.693430656934311</v>
      </c>
      <c r="AI10" s="34"/>
      <c r="AJ10" s="24"/>
      <c r="AK10" s="24"/>
      <c r="AL10" s="26"/>
    </row>
    <row r="11" spans="1:38" ht="31.5" customHeight="1" thickBot="1" x14ac:dyDescent="0.3">
      <c r="A11" s="37">
        <v>5</v>
      </c>
      <c r="B11" s="19"/>
      <c r="C11" s="47" t="s">
        <v>24</v>
      </c>
      <c r="D11" s="41" t="s">
        <v>38</v>
      </c>
      <c r="E11" s="63">
        <v>8.1</v>
      </c>
      <c r="F11" s="63"/>
      <c r="G11" s="63"/>
      <c r="H11" s="42">
        <v>70</v>
      </c>
      <c r="I11" s="21">
        <v>7</v>
      </c>
      <c r="J11" s="21">
        <f t="shared" si="0"/>
        <v>82.2</v>
      </c>
      <c r="K11" s="51">
        <f t="shared" si="1"/>
        <v>85.15815085158151</v>
      </c>
      <c r="L11" s="50">
        <f t="shared" si="5"/>
        <v>42.579075425790755</v>
      </c>
      <c r="M11" s="51">
        <f t="shared" si="6"/>
        <v>51.094890510948908</v>
      </c>
      <c r="N11" s="51">
        <f t="shared" si="7"/>
        <v>59.610705596107053</v>
      </c>
      <c r="O11" s="51">
        <f t="shared" si="8"/>
        <v>68.126520681265205</v>
      </c>
      <c r="P11" s="51">
        <f t="shared" si="9"/>
        <v>76.642335766423358</v>
      </c>
      <c r="Q11" s="31">
        <v>110</v>
      </c>
      <c r="R11" s="21">
        <v>6</v>
      </c>
      <c r="S11" s="21">
        <f t="shared" si="2"/>
        <v>85</v>
      </c>
      <c r="T11" s="51">
        <f t="shared" si="3"/>
        <v>129.41176470588235</v>
      </c>
      <c r="U11" s="50">
        <f t="shared" si="10"/>
        <v>64.705882352941174</v>
      </c>
      <c r="V11" s="51">
        <f t="shared" si="11"/>
        <v>77.647058823529406</v>
      </c>
      <c r="W11" s="51">
        <f t="shared" si="12"/>
        <v>90.588235294117638</v>
      </c>
      <c r="X11" s="51">
        <f t="shared" si="13"/>
        <v>103.52941176470588</v>
      </c>
      <c r="Y11" s="51">
        <f t="shared" si="14"/>
        <v>116.47058823529412</v>
      </c>
      <c r="Z11" s="31">
        <v>40</v>
      </c>
      <c r="AA11" s="21">
        <v>15</v>
      </c>
      <c r="AB11" s="21">
        <f t="shared" si="4"/>
        <v>62.5</v>
      </c>
      <c r="AC11" s="51">
        <f t="shared" si="15"/>
        <v>64</v>
      </c>
      <c r="AD11" s="50">
        <f t="shared" si="16"/>
        <v>32</v>
      </c>
      <c r="AE11" s="51">
        <f t="shared" si="17"/>
        <v>38.4</v>
      </c>
      <c r="AF11" s="51">
        <f t="shared" si="18"/>
        <v>44.8</v>
      </c>
      <c r="AG11" s="51">
        <f t="shared" si="19"/>
        <v>51.2</v>
      </c>
      <c r="AH11" s="51">
        <f t="shared" si="20"/>
        <v>57.6</v>
      </c>
      <c r="AI11" s="35"/>
      <c r="AJ11" s="20"/>
      <c r="AK11" s="20"/>
      <c r="AL11" s="22"/>
    </row>
    <row r="12" spans="1:38" ht="31.5" customHeight="1" thickBot="1" x14ac:dyDescent="0.3">
      <c r="A12" s="39">
        <v>6</v>
      </c>
      <c r="B12" s="23"/>
      <c r="C12" s="46" t="s">
        <v>26</v>
      </c>
      <c r="D12" s="40" t="s">
        <v>38</v>
      </c>
      <c r="E12" s="62">
        <v>6.2</v>
      </c>
      <c r="F12" s="62"/>
      <c r="G12" s="62">
        <v>7</v>
      </c>
      <c r="H12" s="43">
        <v>60</v>
      </c>
      <c r="I12" s="25">
        <v>15</v>
      </c>
      <c r="J12" s="25">
        <f t="shared" si="0"/>
        <v>62.5</v>
      </c>
      <c r="K12" s="51">
        <f t="shared" si="1"/>
        <v>96</v>
      </c>
      <c r="L12" s="50">
        <f t="shared" si="5"/>
        <v>48</v>
      </c>
      <c r="M12" s="51">
        <f t="shared" si="6"/>
        <v>57.599999999999994</v>
      </c>
      <c r="N12" s="51">
        <f t="shared" si="7"/>
        <v>67.199999999999989</v>
      </c>
      <c r="O12" s="51">
        <f t="shared" si="8"/>
        <v>76.800000000000011</v>
      </c>
      <c r="P12" s="51">
        <f t="shared" si="9"/>
        <v>86.4</v>
      </c>
      <c r="Q12" s="25">
        <v>110</v>
      </c>
      <c r="R12" s="25">
        <v>11</v>
      </c>
      <c r="S12" s="25">
        <f t="shared" si="2"/>
        <v>72.5</v>
      </c>
      <c r="T12" s="51">
        <f t="shared" si="3"/>
        <v>151.72413793103448</v>
      </c>
      <c r="U12" s="50">
        <f t="shared" si="10"/>
        <v>75.862068965517238</v>
      </c>
      <c r="V12" s="51">
        <f t="shared" si="11"/>
        <v>91.034482758620683</v>
      </c>
      <c r="W12" s="51">
        <f t="shared" si="12"/>
        <v>106.20689655172413</v>
      </c>
      <c r="X12" s="51">
        <f t="shared" si="13"/>
        <v>121.37931034482759</v>
      </c>
      <c r="Y12" s="51">
        <f t="shared" si="14"/>
        <v>136.55172413793105</v>
      </c>
      <c r="Z12" s="25">
        <v>40</v>
      </c>
      <c r="AA12" s="25">
        <v>15</v>
      </c>
      <c r="AB12" s="25">
        <f t="shared" si="4"/>
        <v>62.5</v>
      </c>
      <c r="AC12" s="51">
        <f t="shared" si="15"/>
        <v>64</v>
      </c>
      <c r="AD12" s="50">
        <f t="shared" si="16"/>
        <v>32</v>
      </c>
      <c r="AE12" s="51">
        <f t="shared" si="17"/>
        <v>38.4</v>
      </c>
      <c r="AF12" s="51">
        <f t="shared" si="18"/>
        <v>44.8</v>
      </c>
      <c r="AG12" s="51">
        <f t="shared" si="19"/>
        <v>51.2</v>
      </c>
      <c r="AH12" s="51">
        <f t="shared" si="20"/>
        <v>57.6</v>
      </c>
      <c r="AI12" s="34"/>
      <c r="AJ12" s="24"/>
      <c r="AK12" s="24"/>
      <c r="AL12" s="26"/>
    </row>
    <row r="13" spans="1:38" ht="31.5" customHeight="1" thickBot="1" x14ac:dyDescent="0.3">
      <c r="A13" s="39">
        <v>8</v>
      </c>
      <c r="B13" s="23"/>
      <c r="C13" s="46" t="s">
        <v>25</v>
      </c>
      <c r="D13" s="40" t="s">
        <v>29</v>
      </c>
      <c r="E13" s="62">
        <v>6.2</v>
      </c>
      <c r="F13" s="62"/>
      <c r="G13" s="62"/>
      <c r="H13" s="43">
        <v>50</v>
      </c>
      <c r="I13" s="25">
        <v>20</v>
      </c>
      <c r="J13" s="25">
        <f t="shared" si="0"/>
        <v>47</v>
      </c>
      <c r="K13" s="51">
        <f t="shared" si="1"/>
        <v>106.38297872340425</v>
      </c>
      <c r="L13" s="50">
        <f t="shared" si="5"/>
        <v>53.191489361702125</v>
      </c>
      <c r="M13" s="51">
        <f t="shared" si="6"/>
        <v>63.829787234042549</v>
      </c>
      <c r="N13" s="51">
        <f t="shared" si="7"/>
        <v>74.468085106382972</v>
      </c>
      <c r="O13" s="51">
        <f t="shared" si="8"/>
        <v>85.106382978723403</v>
      </c>
      <c r="P13" s="51">
        <f t="shared" si="9"/>
        <v>95.744680851063833</v>
      </c>
      <c r="Q13" s="25">
        <v>110</v>
      </c>
      <c r="R13" s="25">
        <v>20</v>
      </c>
      <c r="S13" s="25">
        <f t="shared" si="2"/>
        <v>47</v>
      </c>
      <c r="T13" s="51">
        <f t="shared" si="3"/>
        <v>234.04255319148936</v>
      </c>
      <c r="U13" s="50">
        <f t="shared" si="10"/>
        <v>117.02127659574468</v>
      </c>
      <c r="V13" s="51">
        <f t="shared" si="11"/>
        <v>140.42553191489361</v>
      </c>
      <c r="W13" s="51">
        <f t="shared" si="12"/>
        <v>163.82978723404256</v>
      </c>
      <c r="X13" s="51">
        <f t="shared" si="13"/>
        <v>187.2340425531915</v>
      </c>
      <c r="Y13" s="51">
        <f t="shared" si="14"/>
        <v>210.63829787234042</v>
      </c>
      <c r="Z13" s="25">
        <v>60</v>
      </c>
      <c r="AA13" s="25">
        <v>15</v>
      </c>
      <c r="AB13" s="25">
        <f t="shared" si="4"/>
        <v>62.5</v>
      </c>
      <c r="AC13" s="51">
        <f t="shared" si="15"/>
        <v>96</v>
      </c>
      <c r="AD13" s="50">
        <f t="shared" si="16"/>
        <v>48</v>
      </c>
      <c r="AE13" s="51">
        <f t="shared" si="17"/>
        <v>57.599999999999994</v>
      </c>
      <c r="AF13" s="51">
        <f t="shared" si="18"/>
        <v>67.199999999999989</v>
      </c>
      <c r="AG13" s="51">
        <f t="shared" si="19"/>
        <v>76.800000000000011</v>
      </c>
      <c r="AH13" s="51">
        <f t="shared" si="20"/>
        <v>86.4</v>
      </c>
      <c r="AI13" s="34"/>
      <c r="AJ13" s="24"/>
      <c r="AK13" s="24"/>
      <c r="AL13" s="26"/>
    </row>
    <row r="14" spans="1:38" ht="31.5" customHeight="1" thickBot="1" x14ac:dyDescent="0.3">
      <c r="A14" s="37">
        <v>9</v>
      </c>
      <c r="B14" s="19"/>
      <c r="C14" s="47" t="s">
        <v>25</v>
      </c>
      <c r="D14" s="41" t="s">
        <v>29</v>
      </c>
      <c r="E14" s="63">
        <v>6.2</v>
      </c>
      <c r="F14" s="63">
        <v>6.04</v>
      </c>
      <c r="G14" s="63">
        <v>6.5</v>
      </c>
      <c r="H14" s="42">
        <v>40</v>
      </c>
      <c r="I14" s="21">
        <v>15</v>
      </c>
      <c r="J14" s="21">
        <f t="shared" si="0"/>
        <v>62.5</v>
      </c>
      <c r="K14" s="51">
        <f t="shared" si="1"/>
        <v>64</v>
      </c>
      <c r="L14" s="50">
        <f t="shared" si="5"/>
        <v>32</v>
      </c>
      <c r="M14" s="51">
        <f t="shared" si="6"/>
        <v>38.4</v>
      </c>
      <c r="N14" s="51">
        <f t="shared" si="7"/>
        <v>44.8</v>
      </c>
      <c r="O14" s="51">
        <f t="shared" si="8"/>
        <v>51.2</v>
      </c>
      <c r="P14" s="51">
        <f t="shared" si="9"/>
        <v>57.6</v>
      </c>
      <c r="Q14" s="31">
        <v>80</v>
      </c>
      <c r="R14" s="21">
        <v>20</v>
      </c>
      <c r="S14" s="21">
        <f t="shared" si="2"/>
        <v>47</v>
      </c>
      <c r="T14" s="51">
        <f t="shared" si="3"/>
        <v>170.21276595744681</v>
      </c>
      <c r="U14" s="50">
        <f t="shared" si="10"/>
        <v>85.106382978723403</v>
      </c>
      <c r="V14" s="51">
        <f t="shared" si="11"/>
        <v>102.12765957446808</v>
      </c>
      <c r="W14" s="51">
        <f t="shared" si="12"/>
        <v>119.14893617021275</v>
      </c>
      <c r="X14" s="51">
        <f t="shared" si="13"/>
        <v>136.17021276595744</v>
      </c>
      <c r="Y14" s="51">
        <f t="shared" si="14"/>
        <v>153.19148936170214</v>
      </c>
      <c r="Z14" s="31">
        <v>50</v>
      </c>
      <c r="AA14" s="21">
        <v>11</v>
      </c>
      <c r="AB14" s="21">
        <f t="shared" si="4"/>
        <v>72.5</v>
      </c>
      <c r="AC14" s="51">
        <f t="shared" si="15"/>
        <v>68.965517241379317</v>
      </c>
      <c r="AD14" s="50">
        <f t="shared" si="16"/>
        <v>34.482758620689658</v>
      </c>
      <c r="AE14" s="51">
        <f t="shared" si="17"/>
        <v>41.379310344827587</v>
      </c>
      <c r="AF14" s="51">
        <f t="shared" si="18"/>
        <v>48.275862068965516</v>
      </c>
      <c r="AG14" s="51">
        <f t="shared" si="19"/>
        <v>55.172413793103459</v>
      </c>
      <c r="AH14" s="51">
        <f t="shared" si="20"/>
        <v>62.068965517241388</v>
      </c>
      <c r="AI14" s="35"/>
      <c r="AJ14" s="20"/>
      <c r="AK14" s="20"/>
      <c r="AL14" s="22"/>
    </row>
    <row r="15" spans="1:38" ht="31.5" customHeight="1" thickBot="1" x14ac:dyDescent="0.3">
      <c r="A15" s="39">
        <v>10</v>
      </c>
      <c r="B15" s="23"/>
      <c r="C15" s="46" t="s">
        <v>28</v>
      </c>
      <c r="D15" s="40" t="s">
        <v>30</v>
      </c>
      <c r="E15" s="62">
        <v>7.3</v>
      </c>
      <c r="F15" s="62">
        <v>6.36</v>
      </c>
      <c r="G15" s="62"/>
      <c r="H15" s="43">
        <v>50</v>
      </c>
      <c r="I15" s="25">
        <v>15</v>
      </c>
      <c r="J15" s="25">
        <f t="shared" si="0"/>
        <v>62.5</v>
      </c>
      <c r="K15" s="51">
        <f t="shared" si="1"/>
        <v>80</v>
      </c>
      <c r="L15" s="50">
        <f t="shared" si="5"/>
        <v>40</v>
      </c>
      <c r="M15" s="51">
        <f t="shared" si="6"/>
        <v>48</v>
      </c>
      <c r="N15" s="51">
        <f t="shared" si="7"/>
        <v>56</v>
      </c>
      <c r="O15" s="51">
        <f t="shared" si="8"/>
        <v>64</v>
      </c>
      <c r="P15" s="51">
        <f t="shared" si="9"/>
        <v>72</v>
      </c>
      <c r="Q15" s="25">
        <v>110</v>
      </c>
      <c r="R15" s="25">
        <v>6</v>
      </c>
      <c r="S15" s="25">
        <f t="shared" si="2"/>
        <v>85</v>
      </c>
      <c r="T15" s="51">
        <f t="shared" si="3"/>
        <v>129.41176470588235</v>
      </c>
      <c r="U15" s="50">
        <f t="shared" si="10"/>
        <v>64.705882352941174</v>
      </c>
      <c r="V15" s="51">
        <f t="shared" si="11"/>
        <v>77.647058823529406</v>
      </c>
      <c r="W15" s="51">
        <f t="shared" si="12"/>
        <v>90.588235294117638</v>
      </c>
      <c r="X15" s="51">
        <f t="shared" si="13"/>
        <v>103.52941176470588</v>
      </c>
      <c r="Y15" s="51">
        <f t="shared" si="14"/>
        <v>116.47058823529412</v>
      </c>
      <c r="Z15" s="25">
        <v>60</v>
      </c>
      <c r="AA15" s="25">
        <v>15</v>
      </c>
      <c r="AB15" s="25">
        <f t="shared" si="4"/>
        <v>62.5</v>
      </c>
      <c r="AC15" s="51">
        <f t="shared" si="15"/>
        <v>96</v>
      </c>
      <c r="AD15" s="50">
        <f t="shared" si="16"/>
        <v>48</v>
      </c>
      <c r="AE15" s="51">
        <f t="shared" si="17"/>
        <v>57.599999999999994</v>
      </c>
      <c r="AF15" s="51">
        <f t="shared" si="18"/>
        <v>67.199999999999989</v>
      </c>
      <c r="AG15" s="51">
        <f t="shared" si="19"/>
        <v>76.800000000000011</v>
      </c>
      <c r="AH15" s="51">
        <f t="shared" si="20"/>
        <v>86.4</v>
      </c>
      <c r="AI15" s="34"/>
      <c r="AJ15" s="24"/>
      <c r="AK15" s="24"/>
      <c r="AL15" s="26"/>
    </row>
    <row r="16" spans="1:38" ht="31.5" customHeight="1" thickBot="1" x14ac:dyDescent="0.3">
      <c r="A16" s="39">
        <v>12</v>
      </c>
      <c r="B16" s="23"/>
      <c r="C16" s="46" t="s">
        <v>32</v>
      </c>
      <c r="D16" s="40" t="s">
        <v>31</v>
      </c>
      <c r="E16" s="62">
        <v>6.2</v>
      </c>
      <c r="F16" s="62">
        <v>5.24</v>
      </c>
      <c r="G16" s="62">
        <v>6.44</v>
      </c>
      <c r="H16" s="43">
        <v>50</v>
      </c>
      <c r="I16" s="25">
        <v>14</v>
      </c>
      <c r="J16" s="25">
        <f t="shared" si="0"/>
        <v>65</v>
      </c>
      <c r="K16" s="51">
        <f t="shared" si="1"/>
        <v>76.923076923076934</v>
      </c>
      <c r="L16" s="50">
        <f t="shared" si="5"/>
        <v>38.461538461538467</v>
      </c>
      <c r="M16" s="51">
        <f t="shared" si="6"/>
        <v>46.15384615384616</v>
      </c>
      <c r="N16" s="51">
        <f t="shared" si="7"/>
        <v>53.846153846153854</v>
      </c>
      <c r="O16" s="51">
        <f t="shared" si="8"/>
        <v>61.538461538461547</v>
      </c>
      <c r="P16" s="51">
        <f t="shared" si="9"/>
        <v>69.230769230769241</v>
      </c>
      <c r="Q16" s="25">
        <v>130</v>
      </c>
      <c r="R16" s="25">
        <v>10</v>
      </c>
      <c r="S16" s="25">
        <f t="shared" si="2"/>
        <v>75</v>
      </c>
      <c r="T16" s="51">
        <f t="shared" si="3"/>
        <v>173.33333333333334</v>
      </c>
      <c r="U16" s="50">
        <f t="shared" si="10"/>
        <v>86.666666666666671</v>
      </c>
      <c r="V16" s="51">
        <f t="shared" si="11"/>
        <v>104</v>
      </c>
      <c r="W16" s="51">
        <f t="shared" si="12"/>
        <v>121.33333333333333</v>
      </c>
      <c r="X16" s="51">
        <f t="shared" si="13"/>
        <v>138.66666666666669</v>
      </c>
      <c r="Y16" s="51">
        <f t="shared" si="14"/>
        <v>156</v>
      </c>
      <c r="Z16" s="25">
        <v>70</v>
      </c>
      <c r="AA16" s="25">
        <v>10</v>
      </c>
      <c r="AB16" s="25">
        <f t="shared" si="4"/>
        <v>75</v>
      </c>
      <c r="AC16" s="51">
        <f t="shared" si="15"/>
        <v>93.333333333333329</v>
      </c>
      <c r="AD16" s="50">
        <f t="shared" si="16"/>
        <v>46.666666666666664</v>
      </c>
      <c r="AE16" s="51">
        <f t="shared" si="17"/>
        <v>55.999999999999993</v>
      </c>
      <c r="AF16" s="51">
        <f t="shared" si="18"/>
        <v>65.333333333333329</v>
      </c>
      <c r="AG16" s="51">
        <f t="shared" si="19"/>
        <v>74.666666666666671</v>
      </c>
      <c r="AH16" s="51">
        <f t="shared" si="20"/>
        <v>84</v>
      </c>
      <c r="AI16" s="34"/>
      <c r="AJ16" s="24"/>
      <c r="AK16" s="24"/>
      <c r="AL16" s="26"/>
    </row>
    <row r="17" spans="1:38" ht="31.5" customHeight="1" thickBot="1" x14ac:dyDescent="0.3">
      <c r="A17" s="37">
        <v>13</v>
      </c>
      <c r="B17" s="19"/>
      <c r="C17" s="47" t="s">
        <v>33</v>
      </c>
      <c r="D17" s="41" t="s">
        <v>31</v>
      </c>
      <c r="E17" s="63"/>
      <c r="F17" s="63">
        <v>8</v>
      </c>
      <c r="G17" s="63">
        <v>8.1</v>
      </c>
      <c r="H17" s="42">
        <v>50</v>
      </c>
      <c r="I17" s="21">
        <v>20</v>
      </c>
      <c r="J17" s="21">
        <f t="shared" si="0"/>
        <v>47</v>
      </c>
      <c r="K17" s="51">
        <f t="shared" si="1"/>
        <v>106.38297872340425</v>
      </c>
      <c r="L17" s="50">
        <f t="shared" si="5"/>
        <v>53.191489361702125</v>
      </c>
      <c r="M17" s="51">
        <f t="shared" si="6"/>
        <v>63.829787234042549</v>
      </c>
      <c r="N17" s="51">
        <f t="shared" si="7"/>
        <v>74.468085106382972</v>
      </c>
      <c r="O17" s="51">
        <f t="shared" si="8"/>
        <v>85.106382978723403</v>
      </c>
      <c r="P17" s="51">
        <f t="shared" si="9"/>
        <v>95.744680851063833</v>
      </c>
      <c r="Q17" s="48">
        <v>70</v>
      </c>
      <c r="R17" s="49">
        <v>20</v>
      </c>
      <c r="S17" s="49">
        <f t="shared" si="2"/>
        <v>47</v>
      </c>
      <c r="T17" s="51">
        <f t="shared" si="3"/>
        <v>148.93617021276594</v>
      </c>
      <c r="U17" s="54">
        <f t="shared" si="10"/>
        <v>74.468085106382972</v>
      </c>
      <c r="V17" s="55">
        <f t="shared" si="11"/>
        <v>89.361702127659569</v>
      </c>
      <c r="W17" s="55">
        <f t="shared" si="12"/>
        <v>104.25531914893615</v>
      </c>
      <c r="X17" s="55">
        <f t="shared" si="13"/>
        <v>119.14893617021276</v>
      </c>
      <c r="Y17" s="55">
        <f t="shared" si="14"/>
        <v>134.04255319148936</v>
      </c>
      <c r="Z17" s="48">
        <v>40</v>
      </c>
      <c r="AA17" s="49">
        <v>20</v>
      </c>
      <c r="AB17" s="49">
        <f t="shared" si="4"/>
        <v>47</v>
      </c>
      <c r="AC17" s="51">
        <f t="shared" si="15"/>
        <v>85.106382978723403</v>
      </c>
      <c r="AD17" s="54">
        <f t="shared" si="16"/>
        <v>42.553191489361701</v>
      </c>
      <c r="AE17" s="55">
        <f t="shared" si="17"/>
        <v>51.063829787234042</v>
      </c>
      <c r="AF17" s="55">
        <f t="shared" si="18"/>
        <v>59.574468085106375</v>
      </c>
      <c r="AG17" s="55">
        <f t="shared" si="19"/>
        <v>68.085106382978722</v>
      </c>
      <c r="AH17" s="55">
        <f t="shared" si="20"/>
        <v>76.59574468085107</v>
      </c>
      <c r="AI17" s="56"/>
      <c r="AJ17" s="20"/>
      <c r="AK17" s="20"/>
      <c r="AL17" s="22"/>
    </row>
    <row r="18" spans="1:38" ht="31.5" customHeight="1" thickBot="1" x14ac:dyDescent="0.3">
      <c r="A18" s="39">
        <v>14</v>
      </c>
      <c r="B18" s="23"/>
      <c r="C18" s="46" t="s">
        <v>33</v>
      </c>
      <c r="D18" s="40" t="s">
        <v>31</v>
      </c>
      <c r="E18" s="62">
        <v>6.3</v>
      </c>
      <c r="F18" s="62">
        <v>6.5</v>
      </c>
      <c r="G18" s="62">
        <v>6.9</v>
      </c>
      <c r="H18" s="43">
        <v>40</v>
      </c>
      <c r="I18" s="25">
        <v>20</v>
      </c>
      <c r="J18" s="25">
        <f t="shared" si="0"/>
        <v>47</v>
      </c>
      <c r="K18" s="51">
        <f t="shared" si="1"/>
        <v>85.106382978723403</v>
      </c>
      <c r="L18" s="50">
        <f t="shared" si="5"/>
        <v>42.553191489361701</v>
      </c>
      <c r="M18" s="51">
        <f t="shared" si="6"/>
        <v>51.063829787234042</v>
      </c>
      <c r="N18" s="51">
        <f t="shared" si="7"/>
        <v>59.574468085106375</v>
      </c>
      <c r="O18" s="51">
        <f t="shared" si="8"/>
        <v>68.085106382978722</v>
      </c>
      <c r="P18" s="51">
        <f t="shared" si="9"/>
        <v>76.59574468085107</v>
      </c>
      <c r="Q18" s="25">
        <v>80</v>
      </c>
      <c r="R18" s="25">
        <v>20</v>
      </c>
      <c r="S18" s="25">
        <f t="shared" si="2"/>
        <v>47</v>
      </c>
      <c r="T18" s="51">
        <f t="shared" si="3"/>
        <v>170.21276595744681</v>
      </c>
      <c r="U18" s="50">
        <f t="shared" si="10"/>
        <v>85.106382978723403</v>
      </c>
      <c r="V18" s="51">
        <f t="shared" si="11"/>
        <v>102.12765957446808</v>
      </c>
      <c r="W18" s="51">
        <f t="shared" si="12"/>
        <v>119.14893617021275</v>
      </c>
      <c r="X18" s="51">
        <f t="shared" si="13"/>
        <v>136.17021276595744</v>
      </c>
      <c r="Y18" s="51">
        <f t="shared" si="14"/>
        <v>153.19148936170214</v>
      </c>
      <c r="Z18" s="25">
        <v>50</v>
      </c>
      <c r="AA18" s="25">
        <v>14</v>
      </c>
      <c r="AB18" s="25">
        <f t="shared" si="4"/>
        <v>65</v>
      </c>
      <c r="AC18" s="51">
        <f t="shared" si="15"/>
        <v>76.923076923076934</v>
      </c>
      <c r="AD18" s="50">
        <f t="shared" si="16"/>
        <v>38.461538461538467</v>
      </c>
      <c r="AE18" s="51">
        <f t="shared" si="17"/>
        <v>46.15384615384616</v>
      </c>
      <c r="AF18" s="51">
        <f t="shared" si="18"/>
        <v>53.846153846153854</v>
      </c>
      <c r="AG18" s="51">
        <f t="shared" si="19"/>
        <v>61.538461538461547</v>
      </c>
      <c r="AH18" s="51">
        <f t="shared" si="20"/>
        <v>69.230769230769241</v>
      </c>
      <c r="AI18" s="34"/>
      <c r="AJ18" s="24"/>
      <c r="AK18" s="24"/>
      <c r="AL18" s="26"/>
    </row>
    <row r="19" spans="1:38" ht="31.5" customHeight="1" thickBot="1" x14ac:dyDescent="0.3">
      <c r="A19" s="37">
        <v>15</v>
      </c>
      <c r="B19" s="19"/>
      <c r="C19" s="47" t="s">
        <v>34</v>
      </c>
      <c r="D19" s="41" t="s">
        <v>31</v>
      </c>
      <c r="E19" s="63">
        <v>5.3</v>
      </c>
      <c r="F19" s="63"/>
      <c r="G19" s="63"/>
      <c r="H19" s="42">
        <v>40</v>
      </c>
      <c r="I19" s="21">
        <v>16</v>
      </c>
      <c r="J19" s="21">
        <f t="shared" si="0"/>
        <v>59</v>
      </c>
      <c r="K19" s="51">
        <f t="shared" si="1"/>
        <v>67.796610169491515</v>
      </c>
      <c r="L19" s="50">
        <f t="shared" si="5"/>
        <v>33.898305084745758</v>
      </c>
      <c r="M19" s="51">
        <f t="shared" si="6"/>
        <v>40.677966101694906</v>
      </c>
      <c r="N19" s="51">
        <f t="shared" si="7"/>
        <v>47.457627118644055</v>
      </c>
      <c r="O19" s="51">
        <f t="shared" si="8"/>
        <v>54.237288135593218</v>
      </c>
      <c r="P19" s="51">
        <f t="shared" si="9"/>
        <v>61.016949152542367</v>
      </c>
      <c r="Q19" s="31">
        <v>90</v>
      </c>
      <c r="R19" s="21">
        <v>10</v>
      </c>
      <c r="S19" s="21">
        <f t="shared" si="2"/>
        <v>75</v>
      </c>
      <c r="T19" s="51">
        <f t="shared" si="3"/>
        <v>120</v>
      </c>
      <c r="U19" s="50">
        <f t="shared" si="10"/>
        <v>60</v>
      </c>
      <c r="V19" s="51">
        <f t="shared" si="11"/>
        <v>72</v>
      </c>
      <c r="W19" s="51">
        <f t="shared" si="12"/>
        <v>84</v>
      </c>
      <c r="X19" s="51">
        <f t="shared" si="13"/>
        <v>96</v>
      </c>
      <c r="Y19" s="51">
        <f t="shared" si="14"/>
        <v>108</v>
      </c>
      <c r="Z19" s="31">
        <v>50</v>
      </c>
      <c r="AA19" s="21">
        <v>10</v>
      </c>
      <c r="AB19" s="21">
        <f t="shared" si="4"/>
        <v>75</v>
      </c>
      <c r="AC19" s="51">
        <f t="shared" si="15"/>
        <v>66.666666666666657</v>
      </c>
      <c r="AD19" s="50">
        <f t="shared" si="16"/>
        <v>33.333333333333329</v>
      </c>
      <c r="AE19" s="51">
        <f t="shared" si="17"/>
        <v>39.999999999999993</v>
      </c>
      <c r="AF19" s="51">
        <f t="shared" si="18"/>
        <v>46.666666666666657</v>
      </c>
      <c r="AG19" s="51">
        <f t="shared" si="19"/>
        <v>53.333333333333329</v>
      </c>
      <c r="AH19" s="51">
        <f t="shared" si="20"/>
        <v>59.999999999999993</v>
      </c>
      <c r="AI19" s="35"/>
      <c r="AJ19" s="20"/>
      <c r="AK19" s="20"/>
      <c r="AL19" s="22"/>
    </row>
    <row r="20" spans="1:38" ht="31.5" customHeight="1" thickBot="1" x14ac:dyDescent="0.3">
      <c r="A20" s="39">
        <v>16</v>
      </c>
      <c r="B20" s="23"/>
      <c r="C20" s="46" t="s">
        <v>35</v>
      </c>
      <c r="D20" s="40" t="s">
        <v>37</v>
      </c>
      <c r="E20" s="62">
        <v>7</v>
      </c>
      <c r="F20" s="62">
        <v>9.32</v>
      </c>
      <c r="G20" s="62">
        <v>9.8000000000000007</v>
      </c>
      <c r="H20" s="43">
        <v>50</v>
      </c>
      <c r="I20" s="25">
        <v>8</v>
      </c>
      <c r="J20" s="25">
        <f t="shared" si="0"/>
        <v>80</v>
      </c>
      <c r="K20" s="51">
        <f t="shared" si="1"/>
        <v>62.5</v>
      </c>
      <c r="L20" s="50">
        <f t="shared" si="5"/>
        <v>31.25</v>
      </c>
      <c r="M20" s="51">
        <f t="shared" si="6"/>
        <v>37.5</v>
      </c>
      <c r="N20" s="51">
        <f t="shared" si="7"/>
        <v>43.75</v>
      </c>
      <c r="O20" s="51">
        <f t="shared" si="8"/>
        <v>50</v>
      </c>
      <c r="P20" s="51">
        <f t="shared" si="9"/>
        <v>56.25</v>
      </c>
      <c r="Q20" s="25">
        <v>110</v>
      </c>
      <c r="R20" s="25">
        <v>15</v>
      </c>
      <c r="S20" s="25">
        <f t="shared" si="2"/>
        <v>62.5</v>
      </c>
      <c r="T20" s="51">
        <f t="shared" si="3"/>
        <v>176</v>
      </c>
      <c r="U20" s="50">
        <f t="shared" si="10"/>
        <v>88</v>
      </c>
      <c r="V20" s="51">
        <f t="shared" si="11"/>
        <v>105.6</v>
      </c>
      <c r="W20" s="51">
        <f t="shared" si="12"/>
        <v>123.19999999999999</v>
      </c>
      <c r="X20" s="51">
        <f t="shared" si="13"/>
        <v>140.80000000000001</v>
      </c>
      <c r="Y20" s="51">
        <f t="shared" si="14"/>
        <v>158.4</v>
      </c>
      <c r="Z20" s="25">
        <v>60</v>
      </c>
      <c r="AA20" s="25">
        <v>8</v>
      </c>
      <c r="AB20" s="25">
        <f t="shared" si="4"/>
        <v>80</v>
      </c>
      <c r="AC20" s="51">
        <f t="shared" si="15"/>
        <v>75</v>
      </c>
      <c r="AD20" s="50">
        <f t="shared" si="16"/>
        <v>37.5</v>
      </c>
      <c r="AE20" s="51">
        <f t="shared" si="17"/>
        <v>45</v>
      </c>
      <c r="AF20" s="51">
        <f t="shared" si="18"/>
        <v>52.5</v>
      </c>
      <c r="AG20" s="51">
        <f t="shared" si="19"/>
        <v>60</v>
      </c>
      <c r="AH20" s="51">
        <f t="shared" si="20"/>
        <v>67.5</v>
      </c>
      <c r="AI20" s="34"/>
      <c r="AJ20" s="24"/>
      <c r="AK20" s="24"/>
      <c r="AL20" s="26"/>
    </row>
    <row r="21" spans="1:38" ht="31.5" customHeight="1" thickBot="1" x14ac:dyDescent="0.3">
      <c r="A21" s="37">
        <v>17</v>
      </c>
      <c r="B21" s="19"/>
      <c r="C21" s="47" t="s">
        <v>36</v>
      </c>
      <c r="D21" s="41" t="s">
        <v>37</v>
      </c>
      <c r="E21" s="63">
        <v>6.2</v>
      </c>
      <c r="F21" s="63"/>
      <c r="G21" s="63"/>
      <c r="H21" s="42">
        <v>50</v>
      </c>
      <c r="I21" s="21">
        <v>15</v>
      </c>
      <c r="J21" s="21">
        <f t="shared" si="0"/>
        <v>62.5</v>
      </c>
      <c r="K21" s="51">
        <f t="shared" si="1"/>
        <v>80</v>
      </c>
      <c r="L21" s="50">
        <f t="shared" si="5"/>
        <v>40</v>
      </c>
      <c r="M21" s="51">
        <f t="shared" si="6"/>
        <v>48</v>
      </c>
      <c r="N21" s="51">
        <f t="shared" si="7"/>
        <v>56</v>
      </c>
      <c r="O21" s="51">
        <f t="shared" si="8"/>
        <v>64</v>
      </c>
      <c r="P21" s="51">
        <f t="shared" si="9"/>
        <v>72</v>
      </c>
      <c r="Q21" s="31">
        <v>80</v>
      </c>
      <c r="R21" s="21">
        <v>10</v>
      </c>
      <c r="S21" s="21">
        <f t="shared" si="2"/>
        <v>75</v>
      </c>
      <c r="T21" s="51">
        <f t="shared" si="3"/>
        <v>106.66666666666667</v>
      </c>
      <c r="U21" s="50">
        <f t="shared" si="10"/>
        <v>53.333333333333336</v>
      </c>
      <c r="V21" s="51">
        <f t="shared" si="11"/>
        <v>64</v>
      </c>
      <c r="W21" s="51">
        <f t="shared" si="12"/>
        <v>74.666666666666671</v>
      </c>
      <c r="X21" s="51">
        <f t="shared" si="13"/>
        <v>85.333333333333343</v>
      </c>
      <c r="Y21" s="51">
        <f t="shared" si="14"/>
        <v>96</v>
      </c>
      <c r="Z21" s="31">
        <v>50</v>
      </c>
      <c r="AA21" s="21">
        <v>12</v>
      </c>
      <c r="AB21" s="21">
        <f t="shared" si="4"/>
        <v>70</v>
      </c>
      <c r="AC21" s="51">
        <f t="shared" si="15"/>
        <v>71.428571428571431</v>
      </c>
      <c r="AD21" s="50">
        <f t="shared" si="16"/>
        <v>35.714285714285715</v>
      </c>
      <c r="AE21" s="51">
        <f t="shared" si="17"/>
        <v>42.857142857142854</v>
      </c>
      <c r="AF21" s="51">
        <f t="shared" si="18"/>
        <v>50</v>
      </c>
      <c r="AG21" s="51">
        <f t="shared" si="19"/>
        <v>57.142857142857146</v>
      </c>
      <c r="AH21" s="51">
        <f t="shared" si="20"/>
        <v>64.285714285714292</v>
      </c>
      <c r="AI21" s="35"/>
      <c r="AJ21" s="20"/>
      <c r="AK21" s="20"/>
      <c r="AL21" s="22"/>
    </row>
    <row r="22" spans="1:38" ht="31.5" customHeight="1" thickBot="1" x14ac:dyDescent="0.3">
      <c r="A22" s="39">
        <v>18</v>
      </c>
      <c r="B22" s="23"/>
      <c r="C22" s="46" t="s">
        <v>25</v>
      </c>
      <c r="D22" s="40" t="s">
        <v>37</v>
      </c>
      <c r="E22" s="62">
        <v>8.24</v>
      </c>
      <c r="F22" s="62">
        <v>6.36</v>
      </c>
      <c r="G22" s="62">
        <v>8</v>
      </c>
      <c r="H22" s="43">
        <v>50</v>
      </c>
      <c r="I22" s="25">
        <v>11</v>
      </c>
      <c r="J22" s="25">
        <f t="shared" si="0"/>
        <v>72.5</v>
      </c>
      <c r="K22" s="51">
        <f t="shared" si="1"/>
        <v>68.965517241379317</v>
      </c>
      <c r="L22" s="50">
        <f t="shared" si="5"/>
        <v>34.482758620689658</v>
      </c>
      <c r="M22" s="51">
        <f t="shared" si="6"/>
        <v>41.379310344827587</v>
      </c>
      <c r="N22" s="51">
        <f t="shared" si="7"/>
        <v>48.275862068965516</v>
      </c>
      <c r="O22" s="51">
        <f t="shared" si="8"/>
        <v>55.172413793103459</v>
      </c>
      <c r="P22" s="51">
        <f t="shared" si="9"/>
        <v>62.068965517241388</v>
      </c>
      <c r="Q22" s="25">
        <v>80</v>
      </c>
      <c r="R22" s="25">
        <v>20</v>
      </c>
      <c r="S22" s="25">
        <f t="shared" si="2"/>
        <v>47</v>
      </c>
      <c r="T22" s="51">
        <f t="shared" si="3"/>
        <v>170.21276595744681</v>
      </c>
      <c r="U22" s="50">
        <f t="shared" si="10"/>
        <v>85.106382978723403</v>
      </c>
      <c r="V22" s="51">
        <f t="shared" si="11"/>
        <v>102.12765957446808</v>
      </c>
      <c r="W22" s="51">
        <f t="shared" si="12"/>
        <v>119.14893617021275</v>
      </c>
      <c r="X22" s="51">
        <f t="shared" si="13"/>
        <v>136.17021276595744</v>
      </c>
      <c r="Y22" s="51">
        <f t="shared" si="14"/>
        <v>153.19148936170214</v>
      </c>
      <c r="Z22" s="25">
        <v>50</v>
      </c>
      <c r="AA22" s="25">
        <v>3</v>
      </c>
      <c r="AB22" s="25">
        <f t="shared" si="4"/>
        <v>92.5</v>
      </c>
      <c r="AC22" s="51">
        <f>IF(ISBLANK(AA22),"ـــــــــ",(Z22/AB22*100))</f>
        <v>54.054054054054056</v>
      </c>
      <c r="AD22" s="50">
        <f t="shared" si="16"/>
        <v>27.027027027027028</v>
      </c>
      <c r="AE22" s="51">
        <f t="shared" si="17"/>
        <v>32.432432432432435</v>
      </c>
      <c r="AF22" s="51">
        <f t="shared" si="18"/>
        <v>37.837837837837839</v>
      </c>
      <c r="AG22" s="51">
        <f t="shared" si="19"/>
        <v>43.243243243243249</v>
      </c>
      <c r="AH22" s="51">
        <f t="shared" si="20"/>
        <v>48.648648648648653</v>
      </c>
      <c r="AI22" s="34"/>
      <c r="AJ22" s="24"/>
      <c r="AK22" s="24"/>
      <c r="AL22" s="26"/>
    </row>
    <row r="23" spans="1:38" ht="31.5" customHeight="1" thickBot="1" x14ac:dyDescent="0.3">
      <c r="A23" s="37">
        <v>19</v>
      </c>
      <c r="B23" s="19"/>
      <c r="C23" s="47" t="s">
        <v>26</v>
      </c>
      <c r="D23" s="41" t="s">
        <v>27</v>
      </c>
      <c r="E23" s="63">
        <v>5.7</v>
      </c>
      <c r="F23" s="63">
        <v>7.18</v>
      </c>
      <c r="G23" s="63">
        <v>7.4</v>
      </c>
      <c r="H23" s="42">
        <v>50</v>
      </c>
      <c r="I23" s="21">
        <v>15</v>
      </c>
      <c r="J23" s="21">
        <f t="shared" si="0"/>
        <v>62.5</v>
      </c>
      <c r="K23" s="51">
        <f t="shared" si="1"/>
        <v>80</v>
      </c>
      <c r="L23" s="50">
        <f t="shared" si="5"/>
        <v>40</v>
      </c>
      <c r="M23" s="51">
        <f t="shared" si="6"/>
        <v>48</v>
      </c>
      <c r="N23" s="51">
        <f t="shared" si="7"/>
        <v>56</v>
      </c>
      <c r="O23" s="51">
        <f t="shared" si="8"/>
        <v>64</v>
      </c>
      <c r="P23" s="51">
        <f t="shared" si="9"/>
        <v>72</v>
      </c>
      <c r="Q23" s="31">
        <v>130</v>
      </c>
      <c r="R23" s="21">
        <v>20</v>
      </c>
      <c r="S23" s="21">
        <f t="shared" si="2"/>
        <v>47</v>
      </c>
      <c r="T23" s="51">
        <f t="shared" si="3"/>
        <v>276.59574468085111</v>
      </c>
      <c r="U23" s="50">
        <f t="shared" si="10"/>
        <v>138.29787234042556</v>
      </c>
      <c r="V23" s="51">
        <f t="shared" si="11"/>
        <v>165.95744680851067</v>
      </c>
      <c r="W23" s="51">
        <f t="shared" si="12"/>
        <v>193.61702127659578</v>
      </c>
      <c r="X23" s="51">
        <f t="shared" si="13"/>
        <v>221.27659574468089</v>
      </c>
      <c r="Y23" s="51">
        <f t="shared" si="14"/>
        <v>248.936170212766</v>
      </c>
      <c r="Z23" s="31">
        <v>50</v>
      </c>
      <c r="AA23" s="21">
        <v>15</v>
      </c>
      <c r="AB23" s="21">
        <f t="shared" si="4"/>
        <v>62.5</v>
      </c>
      <c r="AC23" s="51">
        <f t="shared" ref="AC23" si="21">IF(ISBLANK(AA23),"ـــــــــ",(Z23/AB23*100))</f>
        <v>80</v>
      </c>
      <c r="AD23" s="50">
        <f t="shared" si="16"/>
        <v>40</v>
      </c>
      <c r="AE23" s="51">
        <f t="shared" si="17"/>
        <v>48</v>
      </c>
      <c r="AF23" s="51">
        <f t="shared" si="18"/>
        <v>56</v>
      </c>
      <c r="AG23" s="51">
        <f t="shared" si="19"/>
        <v>64</v>
      </c>
      <c r="AH23" s="51">
        <f t="shared" si="20"/>
        <v>72</v>
      </c>
      <c r="AI23" s="35"/>
      <c r="AJ23" s="20"/>
      <c r="AK23" s="20"/>
      <c r="AL23" s="22"/>
    </row>
    <row r="24" spans="1:38" ht="24" customHeight="1" thickBot="1" x14ac:dyDescent="0.3">
      <c r="A24" s="37">
        <v>21</v>
      </c>
      <c r="B24" s="19"/>
      <c r="C24" s="47" t="s">
        <v>24</v>
      </c>
      <c r="D24" s="41" t="s">
        <v>27</v>
      </c>
      <c r="E24" s="63">
        <v>6.2</v>
      </c>
      <c r="F24" s="63">
        <v>6.22</v>
      </c>
      <c r="G24" s="63">
        <v>6.3</v>
      </c>
      <c r="H24" s="42">
        <v>40</v>
      </c>
      <c r="I24" s="21">
        <v>15</v>
      </c>
      <c r="J24" s="21">
        <f t="shared" si="0"/>
        <v>62.5</v>
      </c>
      <c r="K24" s="51">
        <f t="shared" si="1"/>
        <v>64</v>
      </c>
      <c r="L24" s="50">
        <f t="shared" si="5"/>
        <v>32</v>
      </c>
      <c r="M24" s="51">
        <f t="shared" si="6"/>
        <v>38.4</v>
      </c>
      <c r="N24" s="51">
        <f t="shared" si="7"/>
        <v>44.8</v>
      </c>
      <c r="O24" s="51">
        <f t="shared" si="8"/>
        <v>51.2</v>
      </c>
      <c r="P24" s="51">
        <f t="shared" si="9"/>
        <v>57.6</v>
      </c>
      <c r="Q24" s="31">
        <v>70</v>
      </c>
      <c r="R24" s="21">
        <v>20</v>
      </c>
      <c r="S24" s="21">
        <f t="shared" si="2"/>
        <v>47</v>
      </c>
      <c r="T24" s="51">
        <f t="shared" si="3"/>
        <v>148.93617021276594</v>
      </c>
      <c r="U24" s="50">
        <f t="shared" si="10"/>
        <v>74.468085106382972</v>
      </c>
      <c r="V24" s="51">
        <f t="shared" si="11"/>
        <v>89.361702127659569</v>
      </c>
      <c r="W24" s="51">
        <f t="shared" si="12"/>
        <v>104.25531914893615</v>
      </c>
      <c r="X24" s="51">
        <f t="shared" si="13"/>
        <v>119.14893617021276</v>
      </c>
      <c r="Y24" s="51">
        <f t="shared" si="14"/>
        <v>134.04255319148936</v>
      </c>
      <c r="Z24" s="31">
        <v>50</v>
      </c>
      <c r="AA24" s="21">
        <v>10</v>
      </c>
      <c r="AB24" s="21">
        <f t="shared" si="4"/>
        <v>75</v>
      </c>
      <c r="AC24" s="51">
        <f t="shared" si="15"/>
        <v>66.666666666666657</v>
      </c>
      <c r="AD24" s="50">
        <f t="shared" si="16"/>
        <v>33.333333333333329</v>
      </c>
      <c r="AE24" s="51">
        <f t="shared" si="17"/>
        <v>39.999999999999993</v>
      </c>
      <c r="AF24" s="51">
        <f t="shared" si="18"/>
        <v>46.666666666666657</v>
      </c>
      <c r="AG24" s="51">
        <f t="shared" si="19"/>
        <v>53.333333333333329</v>
      </c>
      <c r="AH24" s="51">
        <f t="shared" si="20"/>
        <v>59.999999999999993</v>
      </c>
      <c r="AI24" s="35"/>
      <c r="AJ24" s="20"/>
      <c r="AK24" s="20"/>
      <c r="AL24" s="22"/>
    </row>
    <row r="25" spans="1:38" ht="24" customHeight="1" thickBot="1" x14ac:dyDescent="0.3">
      <c r="A25" s="39">
        <v>22</v>
      </c>
      <c r="B25" s="23"/>
      <c r="C25" s="46" t="s">
        <v>39</v>
      </c>
      <c r="D25" s="40" t="s">
        <v>27</v>
      </c>
      <c r="E25" s="62">
        <v>5.3</v>
      </c>
      <c r="F25" s="62">
        <v>6.1</v>
      </c>
      <c r="G25" s="62">
        <v>6.1</v>
      </c>
      <c r="H25" s="43">
        <v>50</v>
      </c>
      <c r="I25" s="25">
        <v>20</v>
      </c>
      <c r="J25" s="25">
        <f t="shared" si="0"/>
        <v>47</v>
      </c>
      <c r="K25" s="51">
        <f t="shared" si="1"/>
        <v>106.38297872340425</v>
      </c>
      <c r="L25" s="50">
        <f t="shared" si="5"/>
        <v>53.191489361702125</v>
      </c>
      <c r="M25" s="51">
        <f t="shared" si="6"/>
        <v>63.829787234042549</v>
      </c>
      <c r="N25" s="51">
        <f t="shared" si="7"/>
        <v>74.468085106382972</v>
      </c>
      <c r="O25" s="51">
        <f t="shared" si="8"/>
        <v>85.106382978723403</v>
      </c>
      <c r="P25" s="51">
        <f t="shared" si="9"/>
        <v>95.744680851063833</v>
      </c>
      <c r="Q25" s="25">
        <v>80</v>
      </c>
      <c r="R25" s="25">
        <v>12</v>
      </c>
      <c r="S25" s="25">
        <f t="shared" si="2"/>
        <v>70</v>
      </c>
      <c r="T25" s="51">
        <f t="shared" si="3"/>
        <v>114.28571428571428</v>
      </c>
      <c r="U25" s="50">
        <f t="shared" si="10"/>
        <v>57.142857142857139</v>
      </c>
      <c r="V25" s="51">
        <f t="shared" si="11"/>
        <v>68.571428571428569</v>
      </c>
      <c r="W25" s="51">
        <f t="shared" si="12"/>
        <v>79.999999999999986</v>
      </c>
      <c r="X25" s="51">
        <f t="shared" si="13"/>
        <v>91.428571428571431</v>
      </c>
      <c r="Y25" s="51">
        <f t="shared" si="14"/>
        <v>102.85714285714285</v>
      </c>
      <c r="Z25" s="25">
        <v>50</v>
      </c>
      <c r="AA25" s="25">
        <v>16</v>
      </c>
      <c r="AB25" s="25">
        <f t="shared" si="4"/>
        <v>59</v>
      </c>
      <c r="AC25" s="51">
        <f t="shared" si="15"/>
        <v>84.745762711864401</v>
      </c>
      <c r="AD25" s="50">
        <f t="shared" si="16"/>
        <v>42.372881355932201</v>
      </c>
      <c r="AE25" s="51">
        <f t="shared" si="17"/>
        <v>50.847457627118636</v>
      </c>
      <c r="AF25" s="51">
        <f t="shared" si="18"/>
        <v>59.322033898305079</v>
      </c>
      <c r="AG25" s="51">
        <f t="shared" si="19"/>
        <v>67.79661016949153</v>
      </c>
      <c r="AH25" s="51">
        <f t="shared" si="20"/>
        <v>76.271186440677965</v>
      </c>
      <c r="AI25" s="34"/>
      <c r="AJ25" s="24"/>
      <c r="AK25" s="24"/>
      <c r="AL25" s="26"/>
    </row>
    <row r="26" spans="1:38" ht="24" customHeight="1" thickBot="1" x14ac:dyDescent="0.3">
      <c r="A26" s="37">
        <v>23</v>
      </c>
      <c r="B26" s="19"/>
      <c r="C26" s="47" t="s">
        <v>25</v>
      </c>
      <c r="D26" s="41" t="s">
        <v>38</v>
      </c>
      <c r="E26" s="63">
        <v>6.3</v>
      </c>
      <c r="F26" s="63">
        <v>8.1199999999999992</v>
      </c>
      <c r="G26" s="63">
        <v>8.5</v>
      </c>
      <c r="H26" s="44">
        <v>50</v>
      </c>
      <c r="I26" s="21">
        <v>17</v>
      </c>
      <c r="J26" s="21">
        <f t="shared" si="0"/>
        <v>56</v>
      </c>
      <c r="K26" s="51">
        <f t="shared" si="1"/>
        <v>89.285714285714292</v>
      </c>
      <c r="L26" s="50">
        <f t="shared" si="5"/>
        <v>44.642857142857146</v>
      </c>
      <c r="M26" s="51">
        <f t="shared" si="6"/>
        <v>53.571428571428577</v>
      </c>
      <c r="N26" s="51">
        <f t="shared" si="7"/>
        <v>62.5</v>
      </c>
      <c r="O26" s="51">
        <f t="shared" si="8"/>
        <v>71.428571428571431</v>
      </c>
      <c r="P26" s="51">
        <f t="shared" si="9"/>
        <v>80.357142857142861</v>
      </c>
      <c r="Q26" s="31">
        <v>80</v>
      </c>
      <c r="R26" s="21">
        <v>18</v>
      </c>
      <c r="S26" s="21">
        <f t="shared" si="2"/>
        <v>53</v>
      </c>
      <c r="T26" s="51">
        <f t="shared" si="3"/>
        <v>150.9433962264151</v>
      </c>
      <c r="U26" s="50">
        <f t="shared" si="10"/>
        <v>75.471698113207552</v>
      </c>
      <c r="V26" s="51">
        <f t="shared" si="11"/>
        <v>90.566037735849065</v>
      </c>
      <c r="W26" s="51">
        <f t="shared" si="12"/>
        <v>105.66037735849056</v>
      </c>
      <c r="X26" s="51">
        <f t="shared" si="13"/>
        <v>120.75471698113209</v>
      </c>
      <c r="Y26" s="51">
        <f t="shared" si="14"/>
        <v>135.84905660377359</v>
      </c>
      <c r="Z26" s="31">
        <v>50</v>
      </c>
      <c r="AA26" s="21">
        <v>4</v>
      </c>
      <c r="AB26" s="21">
        <f t="shared" si="4"/>
        <v>90</v>
      </c>
      <c r="AC26" s="51">
        <f t="shared" si="15"/>
        <v>55.555555555555557</v>
      </c>
      <c r="AD26" s="50">
        <f t="shared" si="16"/>
        <v>27.777777777777779</v>
      </c>
      <c r="AE26" s="51">
        <f t="shared" si="17"/>
        <v>33.333333333333336</v>
      </c>
      <c r="AF26" s="51">
        <f t="shared" si="18"/>
        <v>38.888888888888886</v>
      </c>
      <c r="AG26" s="51">
        <f t="shared" si="19"/>
        <v>44.44444444444445</v>
      </c>
      <c r="AH26" s="51">
        <f t="shared" si="20"/>
        <v>50</v>
      </c>
      <c r="AI26" s="35"/>
      <c r="AJ26" s="20"/>
      <c r="AK26" s="20"/>
      <c r="AL26" s="22"/>
    </row>
    <row r="27" spans="1:38" ht="24" customHeight="1" thickBot="1" x14ac:dyDescent="0.3">
      <c r="A27" s="39">
        <v>24</v>
      </c>
      <c r="B27" s="23"/>
      <c r="C27" s="46" t="s">
        <v>26</v>
      </c>
      <c r="D27" s="40" t="s">
        <v>38</v>
      </c>
      <c r="E27" s="62">
        <v>6.2</v>
      </c>
      <c r="F27" s="62"/>
      <c r="G27" s="62"/>
      <c r="H27" s="43">
        <v>60</v>
      </c>
      <c r="I27" s="25">
        <v>14</v>
      </c>
      <c r="J27" s="25">
        <f t="shared" si="0"/>
        <v>65</v>
      </c>
      <c r="K27" s="51">
        <f t="shared" si="1"/>
        <v>92.307692307692307</v>
      </c>
      <c r="L27" s="50">
        <f t="shared" si="5"/>
        <v>46.153846153846153</v>
      </c>
      <c r="M27" s="51">
        <f t="shared" si="6"/>
        <v>55.38461538461538</v>
      </c>
      <c r="N27" s="51">
        <f t="shared" si="7"/>
        <v>64.615384615384613</v>
      </c>
      <c r="O27" s="51">
        <f t="shared" si="8"/>
        <v>73.846153846153854</v>
      </c>
      <c r="P27" s="51">
        <f t="shared" si="9"/>
        <v>83.07692307692308</v>
      </c>
      <c r="Q27" s="25">
        <v>120</v>
      </c>
      <c r="R27" s="25">
        <v>12</v>
      </c>
      <c r="S27" s="25">
        <f t="shared" si="2"/>
        <v>70</v>
      </c>
      <c r="T27" s="51">
        <f t="shared" si="3"/>
        <v>171.42857142857142</v>
      </c>
      <c r="U27" s="50">
        <f t="shared" si="10"/>
        <v>85.714285714285708</v>
      </c>
      <c r="V27" s="51">
        <f t="shared" si="11"/>
        <v>102.85714285714285</v>
      </c>
      <c r="W27" s="51">
        <f t="shared" si="12"/>
        <v>119.99999999999999</v>
      </c>
      <c r="X27" s="51">
        <f t="shared" si="13"/>
        <v>137.14285714285714</v>
      </c>
      <c r="Y27" s="51">
        <f t="shared" si="14"/>
        <v>154.28571428571428</v>
      </c>
      <c r="Z27" s="25">
        <v>40</v>
      </c>
      <c r="AA27" s="25">
        <v>20</v>
      </c>
      <c r="AB27" s="25">
        <f t="shared" si="4"/>
        <v>47</v>
      </c>
      <c r="AC27" s="51">
        <f t="shared" si="15"/>
        <v>85.106382978723403</v>
      </c>
      <c r="AD27" s="50">
        <f t="shared" si="16"/>
        <v>42.553191489361701</v>
      </c>
      <c r="AE27" s="51">
        <f t="shared" si="17"/>
        <v>51.063829787234042</v>
      </c>
      <c r="AF27" s="51">
        <f t="shared" si="18"/>
        <v>59.574468085106375</v>
      </c>
      <c r="AG27" s="51">
        <f t="shared" si="19"/>
        <v>68.085106382978722</v>
      </c>
      <c r="AH27" s="51">
        <f t="shared" si="20"/>
        <v>76.59574468085107</v>
      </c>
      <c r="AI27" s="34"/>
      <c r="AJ27" s="24"/>
      <c r="AK27" s="24"/>
      <c r="AL27" s="26"/>
    </row>
    <row r="28" spans="1:38" ht="24" customHeight="1" thickBot="1" x14ac:dyDescent="0.3">
      <c r="A28" s="37">
        <v>25</v>
      </c>
      <c r="B28" s="19"/>
      <c r="C28" s="47" t="s">
        <v>25</v>
      </c>
      <c r="D28" s="41" t="s">
        <v>31</v>
      </c>
      <c r="E28" s="64"/>
      <c r="F28" s="64">
        <v>6.5</v>
      </c>
      <c r="G28" s="64">
        <v>7.9</v>
      </c>
      <c r="H28" s="44">
        <v>60</v>
      </c>
      <c r="I28" s="21">
        <v>9</v>
      </c>
      <c r="J28" s="21">
        <f t="shared" si="0"/>
        <v>77.5</v>
      </c>
      <c r="K28" s="51">
        <f t="shared" si="1"/>
        <v>77.41935483870968</v>
      </c>
      <c r="L28" s="50">
        <f t="shared" ref="L28" si="22">K28*$L$6</f>
        <v>38.70967741935484</v>
      </c>
      <c r="M28" s="51">
        <f t="shared" ref="M28" si="23">K28*$M$6</f>
        <v>46.451612903225808</v>
      </c>
      <c r="N28" s="51">
        <f t="shared" ref="N28" si="24">K28*$N$6</f>
        <v>54.193548387096776</v>
      </c>
      <c r="O28" s="51">
        <f t="shared" ref="O28" si="25">K28*$O$6</f>
        <v>61.935483870967744</v>
      </c>
      <c r="P28" s="51">
        <f t="shared" ref="P28" si="26">K28*$P$6</f>
        <v>69.677419354838719</v>
      </c>
      <c r="Q28" s="31">
        <v>70</v>
      </c>
      <c r="R28" s="21">
        <v>15</v>
      </c>
      <c r="S28" s="21">
        <f t="shared" si="2"/>
        <v>62.5</v>
      </c>
      <c r="T28" s="51">
        <f t="shared" si="3"/>
        <v>112.00000000000001</v>
      </c>
      <c r="U28" s="50">
        <f t="shared" ref="U28" si="27">T28*$L$6</f>
        <v>56.000000000000007</v>
      </c>
      <c r="V28" s="51">
        <f t="shared" ref="V28" si="28">T28*$M$6</f>
        <v>67.2</v>
      </c>
      <c r="W28" s="51">
        <f t="shared" ref="W28" si="29">T28*$N$6</f>
        <v>78.400000000000006</v>
      </c>
      <c r="X28" s="51">
        <f t="shared" ref="X28" si="30">T28*$O$6</f>
        <v>89.600000000000023</v>
      </c>
      <c r="Y28" s="51">
        <f t="shared" ref="Y28" si="31">T28*$P$6</f>
        <v>100.80000000000001</v>
      </c>
      <c r="Z28" s="31">
        <v>50</v>
      </c>
      <c r="AA28" s="21">
        <v>15</v>
      </c>
      <c r="AB28" s="21">
        <f t="shared" si="4"/>
        <v>62.5</v>
      </c>
      <c r="AC28" s="51">
        <f t="shared" si="15"/>
        <v>80</v>
      </c>
      <c r="AD28" s="50">
        <f t="shared" ref="AD28" si="32">AC28*$L$6</f>
        <v>40</v>
      </c>
      <c r="AE28" s="51">
        <f t="shared" ref="AE28" si="33">AC28*$M$6</f>
        <v>48</v>
      </c>
      <c r="AF28" s="51">
        <f t="shared" ref="AF28" si="34">AC28*$N$6</f>
        <v>56</v>
      </c>
      <c r="AG28" s="51">
        <f t="shared" ref="AG28" si="35">AC28*$O$6</f>
        <v>64</v>
      </c>
      <c r="AH28" s="51">
        <f t="shared" ref="AH28" si="36">AC28*$P$6</f>
        <v>72</v>
      </c>
      <c r="AI28" s="36"/>
      <c r="AJ28" s="27"/>
      <c r="AK28" s="27"/>
      <c r="AL28" s="28"/>
    </row>
    <row r="29" spans="1:38" ht="24" hidden="1" customHeight="1" thickBot="1" x14ac:dyDescent="0.3">
      <c r="A29" s="16">
        <v>26</v>
      </c>
      <c r="B29" s="17"/>
      <c r="C29" s="17"/>
      <c r="D29" s="17"/>
      <c r="E29" s="17"/>
      <c r="F29" s="69"/>
      <c r="G29" s="70"/>
      <c r="H29"/>
      <c r="I29"/>
      <c r="J29"/>
      <c r="K29"/>
      <c r="Q29" s="25">
        <v>80</v>
      </c>
      <c r="R29"/>
      <c r="S29"/>
      <c r="T29"/>
      <c r="Z29" s="25">
        <v>50</v>
      </c>
      <c r="AA29"/>
      <c r="AB29" s="25">
        <f t="shared" si="4"/>
        <v>0</v>
      </c>
      <c r="AC29"/>
      <c r="AI29" s="17"/>
      <c r="AJ29" s="17"/>
      <c r="AK29" s="17"/>
      <c r="AL29" s="18"/>
    </row>
    <row r="30" spans="1:38" ht="24" hidden="1" customHeight="1" x14ac:dyDescent="0.25">
      <c r="A30" s="2">
        <v>27</v>
      </c>
      <c r="B30" s="3"/>
      <c r="C30" s="3"/>
      <c r="D30" s="3"/>
      <c r="E30" s="3"/>
      <c r="F30" s="67"/>
      <c r="G30" s="68"/>
      <c r="H30" s="3"/>
      <c r="I30" s="3"/>
      <c r="J30" s="3"/>
      <c r="K30" s="3"/>
      <c r="Q30" s="31">
        <v>80</v>
      </c>
      <c r="R30" s="3"/>
      <c r="S30" s="3"/>
      <c r="T30" s="3"/>
      <c r="Z30" s="31">
        <v>50</v>
      </c>
      <c r="AA30" s="3"/>
      <c r="AB30" s="21">
        <f t="shared" si="4"/>
        <v>0</v>
      </c>
      <c r="AC30" s="3"/>
      <c r="AI30" s="3"/>
      <c r="AJ30" s="3"/>
      <c r="AK30" s="3"/>
      <c r="AL30" s="4"/>
    </row>
    <row r="31" spans="1:38" ht="24" hidden="1" customHeight="1" x14ac:dyDescent="0.25">
      <c r="A31" s="5">
        <v>28</v>
      </c>
      <c r="B31" s="6"/>
      <c r="C31" s="6"/>
      <c r="D31" s="6"/>
      <c r="E31" s="6"/>
      <c r="F31" s="65"/>
      <c r="G31" s="66"/>
      <c r="H31" s="6"/>
      <c r="I31" s="6"/>
      <c r="J31" s="6"/>
      <c r="K31" s="6"/>
      <c r="Q31" s="25">
        <v>80</v>
      </c>
      <c r="R31" s="6"/>
      <c r="S31" s="6"/>
      <c r="T31" s="6"/>
      <c r="Z31" s="25">
        <v>50</v>
      </c>
      <c r="AA31" s="6"/>
      <c r="AB31" s="25">
        <f t="shared" si="4"/>
        <v>0</v>
      </c>
      <c r="AC31" s="6"/>
      <c r="AI31" s="6"/>
      <c r="AJ31" s="6"/>
      <c r="AK31" s="6"/>
      <c r="AL31" s="7"/>
    </row>
    <row r="32" spans="1:38" ht="24" hidden="1" customHeight="1" x14ac:dyDescent="0.25">
      <c r="A32" s="2">
        <v>29</v>
      </c>
      <c r="B32" s="3"/>
      <c r="C32" s="3"/>
      <c r="D32" s="3"/>
      <c r="E32" s="3"/>
      <c r="F32" s="67"/>
      <c r="G32" s="68"/>
      <c r="H32" s="3"/>
      <c r="I32" s="3"/>
      <c r="J32" s="3"/>
      <c r="K32" s="3"/>
      <c r="Q32" s="31">
        <v>80</v>
      </c>
      <c r="R32" s="3"/>
      <c r="S32" s="3"/>
      <c r="T32" s="3"/>
      <c r="Z32" s="31">
        <v>50</v>
      </c>
      <c r="AA32" s="3"/>
      <c r="AB32" s="21">
        <f t="shared" si="4"/>
        <v>0</v>
      </c>
      <c r="AC32" s="3"/>
      <c r="AI32" s="3"/>
      <c r="AJ32" s="3"/>
      <c r="AK32" s="3"/>
      <c r="AL32" s="4"/>
    </row>
    <row r="33" spans="1:38" ht="24" hidden="1" customHeight="1" x14ac:dyDescent="0.25">
      <c r="A33" s="5">
        <v>30</v>
      </c>
      <c r="B33" s="6"/>
      <c r="C33" s="6"/>
      <c r="D33" s="6"/>
      <c r="E33" s="6"/>
      <c r="F33" s="65"/>
      <c r="G33" s="66"/>
      <c r="H33" s="6"/>
      <c r="I33" s="6"/>
      <c r="J33" s="6"/>
      <c r="K33" s="6"/>
      <c r="Q33" s="25">
        <v>80</v>
      </c>
      <c r="R33" s="6"/>
      <c r="S33" s="6"/>
      <c r="T33" s="6"/>
      <c r="Z33" s="25">
        <v>50</v>
      </c>
      <c r="AA33" s="6"/>
      <c r="AB33" s="25">
        <f t="shared" si="4"/>
        <v>0</v>
      </c>
      <c r="AC33" s="6"/>
      <c r="AI33" s="6"/>
      <c r="AJ33" s="6"/>
      <c r="AK33" s="6"/>
      <c r="AL33" s="7"/>
    </row>
    <row r="34" spans="1:38" ht="16.899999999999999" customHeight="1" x14ac:dyDescent="0.25">
      <c r="AI34"/>
      <c r="AJ34"/>
      <c r="AK34"/>
      <c r="AL34"/>
    </row>
    <row r="35" spans="1:38" ht="16.899999999999999" customHeight="1" x14ac:dyDescent="0.25">
      <c r="AI35"/>
      <c r="AJ35"/>
      <c r="AK35"/>
      <c r="AL35"/>
    </row>
  </sheetData>
  <dataConsolidate>
    <dataRefs count="3">
      <dataRef ref="D5" sheet="الاثنين 12 مايو"/>
      <dataRef name="GK"/>
      <dataRef name="RW"/>
    </dataRefs>
  </dataConsolidate>
  <mergeCells count="19">
    <mergeCell ref="A3:AL3"/>
    <mergeCell ref="AI4:AI5"/>
    <mergeCell ref="AJ4:AJ5"/>
    <mergeCell ref="AK4:AK5"/>
    <mergeCell ref="B4:B6"/>
    <mergeCell ref="A4:A6"/>
    <mergeCell ref="AL4:AL6"/>
    <mergeCell ref="D4:D6"/>
    <mergeCell ref="H5:P5"/>
    <mergeCell ref="Q5:Y5"/>
    <mergeCell ref="Z5:AH5"/>
    <mergeCell ref="H4:AH4"/>
    <mergeCell ref="C4:C6"/>
    <mergeCell ref="E4:G5"/>
    <mergeCell ref="F33:G33"/>
    <mergeCell ref="F30:G30"/>
    <mergeCell ref="F31:G31"/>
    <mergeCell ref="F29:G29"/>
    <mergeCell ref="F32:G32"/>
  </mergeCells>
  <printOptions horizontalCentered="1" verticalCentered="1"/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الاثنين 12 مايو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</dc:creator>
  <cp:lastModifiedBy>Aser Sherif Mahmoud Mahmoud Shalaby 23P0396</cp:lastModifiedBy>
  <cp:lastPrinted>2025-04-29T14:51:08Z</cp:lastPrinted>
  <dcterms:created xsi:type="dcterms:W3CDTF">2023-05-25T11:43:05Z</dcterms:created>
  <dcterms:modified xsi:type="dcterms:W3CDTF">2026-08-29T00:16:16Z</dcterms:modified>
</cp:coreProperties>
</file>